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purdue0-my.sharepoint.com/personal/kapadi13_purdue_edu/Documents/"/>
    </mc:Choice>
  </mc:AlternateContent>
  <xr:revisionPtr revIDLastSave="0" documentId="8_{DBAD3A58-0308-476D-A04E-2DF44ADEAFE2}" xr6:coauthVersionLast="47" xr6:coauthVersionMax="47" xr10:uidLastSave="{00000000-0000-0000-0000-000000000000}"/>
  <bookViews>
    <workbookView xWindow="-108" yWindow="-108" windowWidth="23256" windowHeight="12456" firstSheet="2" activeTab="2" xr2:uid="{2ABA8239-50EB-4AD4-BF6B-F02CD7156B7D}"/>
  </bookViews>
  <sheets>
    <sheet name="Lead Generation " sheetId="1" r:id="rId1"/>
    <sheet name="Assumptions  " sheetId="2" r:id="rId2"/>
    <sheet name="Financial Model 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3" l="1"/>
  <c r="C28" i="3"/>
  <c r="C29" i="3" s="1"/>
  <c r="C32" i="3" s="1"/>
  <c r="C30" i="3"/>
  <c r="C33" i="3" s="1"/>
  <c r="C31" i="3"/>
  <c r="C34" i="3" s="1"/>
  <c r="C36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C23" i="3"/>
  <c r="I26" i="3"/>
  <c r="C25" i="3"/>
  <c r="P21" i="3"/>
  <c r="P22" i="3" s="1"/>
  <c r="Q21" i="3"/>
  <c r="Q22" i="3" s="1"/>
  <c r="R21" i="3"/>
  <c r="R22" i="3" s="1"/>
  <c r="S21" i="3"/>
  <c r="S22" i="3" s="1"/>
  <c r="T21" i="3"/>
  <c r="U21" i="3"/>
  <c r="U22" i="3" s="1"/>
  <c r="V21" i="3"/>
  <c r="V22" i="3" s="1"/>
  <c r="W21" i="3"/>
  <c r="W22" i="3" s="1"/>
  <c r="W24" i="3" s="1"/>
  <c r="X21" i="3"/>
  <c r="X22" i="3" s="1"/>
  <c r="Y21" i="3"/>
  <c r="Y22" i="3" s="1"/>
  <c r="T22" i="3"/>
  <c r="P23" i="3"/>
  <c r="Q23" i="3"/>
  <c r="R23" i="3"/>
  <c r="S23" i="3"/>
  <c r="T23" i="3"/>
  <c r="U23" i="3"/>
  <c r="V23" i="3"/>
  <c r="W23" i="3"/>
  <c r="X23" i="3"/>
  <c r="Y23" i="3"/>
  <c r="P26" i="3"/>
  <c r="Q26" i="3"/>
  <c r="R26" i="3"/>
  <c r="S26" i="3"/>
  <c r="T26" i="3"/>
  <c r="U26" i="3"/>
  <c r="V26" i="3"/>
  <c r="W26" i="3"/>
  <c r="X26" i="3"/>
  <c r="Y26" i="3"/>
  <c r="O21" i="3"/>
  <c r="O22" i="3" s="1"/>
  <c r="O23" i="3"/>
  <c r="O26" i="3"/>
  <c r="C26" i="3"/>
  <c r="C21" i="3"/>
  <c r="C20" i="3"/>
  <c r="D21" i="3"/>
  <c r="D22" i="3" s="1"/>
  <c r="C22" i="3"/>
  <c r="D26" i="3"/>
  <c r="D23" i="3"/>
  <c r="F21" i="3"/>
  <c r="F22" i="3" s="1"/>
  <c r="G21" i="3"/>
  <c r="G22" i="3" s="1"/>
  <c r="H21" i="3"/>
  <c r="H22" i="3" s="1"/>
  <c r="I21" i="3"/>
  <c r="I22" i="3" s="1"/>
  <c r="J21" i="3"/>
  <c r="J22" i="3" s="1"/>
  <c r="K21" i="3"/>
  <c r="K22" i="3" s="1"/>
  <c r="L21" i="3"/>
  <c r="L22" i="3" s="1"/>
  <c r="M21" i="3"/>
  <c r="M22" i="3" s="1"/>
  <c r="N21" i="3"/>
  <c r="N22" i="3" s="1"/>
  <c r="F23" i="3"/>
  <c r="G23" i="3"/>
  <c r="H23" i="3"/>
  <c r="I23" i="3"/>
  <c r="J23" i="3"/>
  <c r="K23" i="3"/>
  <c r="L23" i="3"/>
  <c r="M23" i="3"/>
  <c r="N23" i="3"/>
  <c r="F26" i="3"/>
  <c r="G26" i="3"/>
  <c r="H26" i="3"/>
  <c r="J26" i="3"/>
  <c r="K26" i="3"/>
  <c r="L26" i="3"/>
  <c r="M26" i="3"/>
  <c r="N26" i="3"/>
  <c r="E21" i="3"/>
  <c r="E22" i="3" s="1"/>
  <c r="E23" i="3"/>
  <c r="E26" i="3"/>
  <c r="H4" i="1"/>
  <c r="B8" i="2"/>
  <c r="C39" i="3" l="1"/>
  <c r="C35" i="3"/>
  <c r="C38" i="3" s="1"/>
  <c r="C41" i="3" s="1"/>
  <c r="C40" i="3"/>
  <c r="U24" i="3"/>
  <c r="C24" i="3"/>
  <c r="H24" i="3"/>
  <c r="P24" i="3"/>
  <c r="I24" i="3"/>
  <c r="G24" i="3"/>
  <c r="F24" i="3"/>
  <c r="T24" i="3"/>
  <c r="S24" i="3"/>
  <c r="R24" i="3"/>
  <c r="V24" i="3"/>
  <c r="Q24" i="3"/>
  <c r="Y24" i="3"/>
  <c r="X24" i="3"/>
  <c r="O24" i="3"/>
  <c r="M24" i="3"/>
  <c r="D24" i="3"/>
  <c r="N24" i="3"/>
  <c r="K24" i="3"/>
  <c r="L24" i="3"/>
  <c r="J24" i="3"/>
  <c r="C27" i="3"/>
  <c r="E24" i="3"/>
  <c r="D27" i="3" l="1"/>
  <c r="C53" i="3" l="1"/>
  <c r="C56" i="3" s="1"/>
  <c r="D28" i="3"/>
  <c r="D39" i="3" l="1"/>
  <c r="D36" i="3"/>
  <c r="E25" i="3"/>
  <c r="D31" i="3"/>
  <c r="D29" i="3"/>
  <c r="D40" i="3" s="1"/>
  <c r="D30" i="3"/>
  <c r="E27" i="3" l="1"/>
  <c r="E28" i="3" s="1"/>
  <c r="D32" i="3"/>
  <c r="E39" i="3" l="1"/>
  <c r="E36" i="3"/>
  <c r="F25" i="3"/>
  <c r="E29" i="3"/>
  <c r="E40" i="3" s="1"/>
  <c r="E30" i="3"/>
  <c r="E31" i="3"/>
  <c r="F27" i="3"/>
  <c r="D34" i="3"/>
  <c r="D33" i="3"/>
  <c r="D35" i="3" l="1"/>
  <c r="F28" i="3"/>
  <c r="E32" i="3"/>
  <c r="F39" i="3" l="1"/>
  <c r="F36" i="3"/>
  <c r="D38" i="3"/>
  <c r="D41" i="3" s="1"/>
  <c r="D56" i="3" s="1"/>
  <c r="G25" i="3"/>
  <c r="F31" i="3"/>
  <c r="F30" i="3"/>
  <c r="F29" i="3"/>
  <c r="F40" i="3" s="1"/>
  <c r="G27" i="3"/>
  <c r="G28" i="3" s="1"/>
  <c r="E34" i="3"/>
  <c r="E33" i="3"/>
  <c r="H25" i="3" l="1"/>
  <c r="G39" i="3"/>
  <c r="G36" i="3"/>
  <c r="E35" i="3"/>
  <c r="G30" i="3"/>
  <c r="G31" i="3"/>
  <c r="G29" i="3"/>
  <c r="G40" i="3" s="1"/>
  <c r="F32" i="3"/>
  <c r="H27" i="3"/>
  <c r="H28" i="3" s="1"/>
  <c r="F33" i="3"/>
  <c r="F34" i="3"/>
  <c r="E38" i="3" l="1"/>
  <c r="E41" i="3" s="1"/>
  <c r="E56" i="3" s="1"/>
  <c r="I25" i="3"/>
  <c r="H36" i="3"/>
  <c r="H39" i="3"/>
  <c r="F35" i="3"/>
  <c r="H29" i="3"/>
  <c r="H31" i="3"/>
  <c r="H30" i="3"/>
  <c r="G32" i="3"/>
  <c r="I27" i="3"/>
  <c r="I28" i="3" s="1"/>
  <c r="G34" i="3"/>
  <c r="G33" i="3"/>
  <c r="H32" i="3" l="1"/>
  <c r="H40" i="3"/>
  <c r="J25" i="3"/>
  <c r="I36" i="3"/>
  <c r="I39" i="3"/>
  <c r="F38" i="3"/>
  <c r="F41" i="3" s="1"/>
  <c r="F56" i="3" s="1"/>
  <c r="G35" i="3"/>
  <c r="I30" i="3"/>
  <c r="I29" i="3"/>
  <c r="I31" i="3"/>
  <c r="J27" i="3"/>
  <c r="J28" i="3" s="1"/>
  <c r="H34" i="3"/>
  <c r="H33" i="3"/>
  <c r="H35" i="3" l="1"/>
  <c r="H38" i="3"/>
  <c r="K25" i="3"/>
  <c r="J36" i="3"/>
  <c r="J39" i="3"/>
  <c r="I32" i="3"/>
  <c r="I40" i="3"/>
  <c r="G38" i="3"/>
  <c r="G41" i="3" s="1"/>
  <c r="G56" i="3" s="1"/>
  <c r="H41" i="3"/>
  <c r="H56" i="3" s="1"/>
  <c r="J29" i="3"/>
  <c r="J40" i="3" s="1"/>
  <c r="J30" i="3"/>
  <c r="J31" i="3"/>
  <c r="I33" i="3"/>
  <c r="K27" i="3"/>
  <c r="K28" i="3" s="1"/>
  <c r="I34" i="3"/>
  <c r="L25" i="3" l="1"/>
  <c r="K36" i="3"/>
  <c r="K39" i="3"/>
  <c r="J32" i="3"/>
  <c r="I35" i="3"/>
  <c r="K31" i="3"/>
  <c r="K30" i="3"/>
  <c r="K29" i="3"/>
  <c r="K40" i="3" s="1"/>
  <c r="L27" i="3"/>
  <c r="L28" i="3" s="1"/>
  <c r="J34" i="3"/>
  <c r="J33" i="3"/>
  <c r="K32" i="3"/>
  <c r="I38" i="3" l="1"/>
  <c r="I41" i="3" s="1"/>
  <c r="I56" i="3"/>
  <c r="L36" i="3"/>
  <c r="L39" i="3"/>
  <c r="J35" i="3"/>
  <c r="L31" i="3"/>
  <c r="L30" i="3"/>
  <c r="L29" i="3"/>
  <c r="M25" i="3"/>
  <c r="M27" i="3" s="1"/>
  <c r="M28" i="3" s="1"/>
  <c r="K34" i="3"/>
  <c r="K33" i="3"/>
  <c r="L32" i="3" l="1"/>
  <c r="L40" i="3"/>
  <c r="J38" i="3"/>
  <c r="J41" i="3" s="1"/>
  <c r="J56" i="3"/>
  <c r="M36" i="3"/>
  <c r="M39" i="3"/>
  <c r="K35" i="3"/>
  <c r="M29" i="3"/>
  <c r="M30" i="3"/>
  <c r="M31" i="3"/>
  <c r="N25" i="3"/>
  <c r="N27" i="3" s="1"/>
  <c r="N28" i="3" s="1"/>
  <c r="L33" i="3"/>
  <c r="L34" i="3"/>
  <c r="K38" i="3" l="1"/>
  <c r="K41" i="3" s="1"/>
  <c r="K56" i="3" s="1"/>
  <c r="N39" i="3"/>
  <c r="N36" i="3"/>
  <c r="M32" i="3"/>
  <c r="M40" i="3"/>
  <c r="L35" i="3"/>
  <c r="N29" i="3"/>
  <c r="N31" i="3"/>
  <c r="N30" i="3"/>
  <c r="O25" i="3"/>
  <c r="O27" i="3" s="1"/>
  <c r="O28" i="3" s="1"/>
  <c r="M33" i="3"/>
  <c r="M34" i="3"/>
  <c r="P25" i="3" l="1"/>
  <c r="P27" i="3" s="1"/>
  <c r="P28" i="3" s="1"/>
  <c r="P29" i="3" s="1"/>
  <c r="O39" i="3"/>
  <c r="O36" i="3"/>
  <c r="N32" i="3"/>
  <c r="N40" i="3"/>
  <c r="L38" i="3"/>
  <c r="L41" i="3" s="1"/>
  <c r="L56" i="3" s="1"/>
  <c r="M35" i="3"/>
  <c r="O29" i="3"/>
  <c r="O31" i="3"/>
  <c r="O34" i="3" s="1"/>
  <c r="O30" i="3"/>
  <c r="O33" i="3" s="1"/>
  <c r="N33" i="3"/>
  <c r="N34" i="3"/>
  <c r="P31" i="3" l="1"/>
  <c r="P34" i="3" s="1"/>
  <c r="Q25" i="3"/>
  <c r="Q27" i="3" s="1"/>
  <c r="Q28" i="3" s="1"/>
  <c r="Q29" i="3" s="1"/>
  <c r="P30" i="3"/>
  <c r="P33" i="3" s="1"/>
  <c r="O32" i="3"/>
  <c r="O40" i="3"/>
  <c r="P32" i="3"/>
  <c r="P35" i="3" s="1"/>
  <c r="P40" i="3"/>
  <c r="Q36" i="3"/>
  <c r="Q39" i="3"/>
  <c r="M38" i="3"/>
  <c r="M41" i="3" s="1"/>
  <c r="M56" i="3" s="1"/>
  <c r="P39" i="3"/>
  <c r="P36" i="3"/>
  <c r="O35" i="3"/>
  <c r="N35" i="3"/>
  <c r="Q31" i="3"/>
  <c r="Q34" i="3" s="1"/>
  <c r="R25" i="3"/>
  <c r="R27" i="3" s="1"/>
  <c r="R28" i="3" s="1"/>
  <c r="Q30" i="3" l="1"/>
  <c r="Q33" i="3" s="1"/>
  <c r="P38" i="3"/>
  <c r="N38" i="3"/>
  <c r="N41" i="3" s="1"/>
  <c r="N56" i="3" s="1"/>
  <c r="Q32" i="3"/>
  <c r="Q40" i="3"/>
  <c r="R39" i="3"/>
  <c r="R36" i="3"/>
  <c r="O38" i="3"/>
  <c r="O41" i="3" s="1"/>
  <c r="O56" i="3" s="1"/>
  <c r="P41" i="3"/>
  <c r="P56" i="3" s="1"/>
  <c r="Q35" i="3"/>
  <c r="R31" i="3"/>
  <c r="R34" i="3" s="1"/>
  <c r="S25" i="3"/>
  <c r="S27" i="3" s="1"/>
  <c r="S28" i="3" s="1"/>
  <c r="R29" i="3"/>
  <c r="R30" i="3"/>
  <c r="R33" i="3" s="1"/>
  <c r="R32" i="3" l="1"/>
  <c r="R40" i="3"/>
  <c r="S36" i="3"/>
  <c r="S39" i="3"/>
  <c r="Q38" i="3"/>
  <c r="Q41" i="3" s="1"/>
  <c r="Q56" i="3" s="1"/>
  <c r="R35" i="3"/>
  <c r="S29" i="3"/>
  <c r="T25" i="3"/>
  <c r="T27" i="3" s="1"/>
  <c r="T28" i="3" s="1"/>
  <c r="S30" i="3"/>
  <c r="S33" i="3" s="1"/>
  <c r="S31" i="3"/>
  <c r="S34" i="3" s="1"/>
  <c r="S32" i="3" l="1"/>
  <c r="S40" i="3"/>
  <c r="T36" i="3"/>
  <c r="T39" i="3"/>
  <c r="R38" i="3"/>
  <c r="R41" i="3" s="1"/>
  <c r="R56" i="3" s="1"/>
  <c r="T31" i="3"/>
  <c r="T34" i="3" s="1"/>
  <c r="U25" i="3"/>
  <c r="U27" i="3" s="1"/>
  <c r="U28" i="3" s="1"/>
  <c r="T30" i="3"/>
  <c r="T33" i="3" s="1"/>
  <c r="T29" i="3"/>
  <c r="S35" i="3"/>
  <c r="S38" i="3" l="1"/>
  <c r="S41" i="3" s="1"/>
  <c r="S56" i="3" s="1"/>
  <c r="U36" i="3"/>
  <c r="U39" i="3"/>
  <c r="T32" i="3"/>
  <c r="T40" i="3"/>
  <c r="T35" i="3"/>
  <c r="V25" i="3"/>
  <c r="V27" i="3" s="1"/>
  <c r="V28" i="3" s="1"/>
  <c r="U30" i="3"/>
  <c r="U33" i="3" s="1"/>
  <c r="U29" i="3"/>
  <c r="U31" i="3"/>
  <c r="U34" i="3" s="1"/>
  <c r="V36" i="3" l="1"/>
  <c r="V39" i="3"/>
  <c r="U32" i="3"/>
  <c r="U40" i="3"/>
  <c r="T38" i="3"/>
  <c r="T41" i="3" s="1"/>
  <c r="T56" i="3"/>
  <c r="U35" i="3"/>
  <c r="V30" i="3"/>
  <c r="V33" i="3" s="1"/>
  <c r="V29" i="3"/>
  <c r="V31" i="3"/>
  <c r="V34" i="3" s="1"/>
  <c r="W25" i="3"/>
  <c r="W27" i="3" s="1"/>
  <c r="W28" i="3" s="1"/>
  <c r="W39" i="3" l="1"/>
  <c r="W36" i="3"/>
  <c r="V32" i="3"/>
  <c r="V40" i="3"/>
  <c r="U38" i="3"/>
  <c r="U41" i="3" s="1"/>
  <c r="U56" i="3"/>
  <c r="X25" i="3"/>
  <c r="X27" i="3" s="1"/>
  <c r="X28" i="3" s="1"/>
  <c r="W29" i="3"/>
  <c r="W30" i="3"/>
  <c r="W33" i="3" s="1"/>
  <c r="W31" i="3"/>
  <c r="W34" i="3" s="1"/>
  <c r="V35" i="3"/>
  <c r="X39" i="3" l="1"/>
  <c r="X36" i="3"/>
  <c r="V38" i="3"/>
  <c r="V41" i="3" s="1"/>
  <c r="V56" i="3" s="1"/>
  <c r="W32" i="3"/>
  <c r="W40" i="3"/>
  <c r="W35" i="3"/>
  <c r="Y25" i="3"/>
  <c r="Y27" i="3" s="1"/>
  <c r="Y28" i="3" s="1"/>
  <c r="X29" i="3"/>
  <c r="X31" i="3"/>
  <c r="X34" i="3" s="1"/>
  <c r="X30" i="3"/>
  <c r="X33" i="3" s="1"/>
  <c r="N4" i="3" l="1"/>
  <c r="Y39" i="3"/>
  <c r="Y36" i="3"/>
  <c r="X32" i="3"/>
  <c r="X40" i="3"/>
  <c r="W38" i="3"/>
  <c r="W41" i="3" s="1"/>
  <c r="W56" i="3" s="1"/>
  <c r="X35" i="3"/>
  <c r="Y30" i="3"/>
  <c r="Y33" i="3" s="1"/>
  <c r="Y29" i="3"/>
  <c r="Y31" i="3"/>
  <c r="Y34" i="3" s="1"/>
  <c r="Y32" i="3" l="1"/>
  <c r="Y40" i="3"/>
  <c r="X38" i="3"/>
  <c r="X41" i="3" s="1"/>
  <c r="X56" i="3"/>
  <c r="Y35" i="3"/>
  <c r="Y38" i="3" l="1"/>
  <c r="Y41" i="3" s="1"/>
  <c r="Y56" i="3" s="1"/>
  <c r="S9" i="3" s="1"/>
  <c r="N10" i="3"/>
</calcChain>
</file>

<file path=xl/sharedStrings.xml><?xml version="1.0" encoding="utf-8"?>
<sst xmlns="http://schemas.openxmlformats.org/spreadsheetml/2006/main" count="394" uniqueCount="292">
  <si>
    <r>
      <rPr>
        <b/>
        <sz val="26"/>
        <color theme="1"/>
        <rFont val="Aptos Narrow"/>
        <family val="2"/>
        <scheme val="minor"/>
      </rPr>
      <t>Leads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</si>
  <si>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Customer Name </t>
  </si>
  <si>
    <t xml:space="preserve">Date Found </t>
  </si>
  <si>
    <t xml:space="preserve">Primary Contact  </t>
  </si>
  <si>
    <t>Summary</t>
  </si>
  <si>
    <t xml:space="preserve">Customer Converted </t>
  </si>
  <si>
    <t xml:space="preserve">Contract Amount (Yearly) </t>
  </si>
  <si>
    <t xml:space="preserve">Total Leads </t>
  </si>
  <si>
    <t>Apex Manufacturing</t>
  </si>
  <si>
    <t>Sarah Jenkins</t>
  </si>
  <si>
    <t>Interested in packaging line automation and parts replacement.</t>
  </si>
  <si>
    <t>Yes</t>
  </si>
  <si>
    <t>Summit Logistics</t>
  </si>
  <si>
    <t>Marcus Vance</t>
  </si>
  <si>
    <t>Requested quote for fleet tracking hardware and IoT integration.</t>
  </si>
  <si>
    <t>No</t>
  </si>
  <si>
    <t>Horizon Foods</t>
  </si>
  <si>
    <t>Elena Rostova</t>
  </si>
  <si>
    <t>Inquired about conveyer belt subassembly and spare parts catalog.</t>
  </si>
  <si>
    <t>Beacon BioTech</t>
  </si>
  <si>
    <t>David Chen</t>
  </si>
  <si>
    <t>Evaluating high-throughput sorting equipment for lab expansion.</t>
  </si>
  <si>
    <t>Vanguard Energy</t>
  </si>
  <si>
    <t>Rachel Adams</t>
  </si>
  <si>
    <t>Looking into predictive maintenance software for regional plants.</t>
  </si>
  <si>
    <t>Sterling Industrial</t>
  </si>
  <si>
    <t>James Miller</t>
  </si>
  <si>
    <t>Bulk order inquiry for custom replacement components and bearings.</t>
  </si>
  <si>
    <t>Nexus Robotics</t>
  </si>
  <si>
    <t>Amanda Taylor</t>
  </si>
  <si>
    <t>Reviewing cross-selling options for integrated robotic arms.</t>
  </si>
  <si>
    <t>Pioneer Packaging</t>
  </si>
  <si>
    <t>Robert Martinez</t>
  </si>
  <si>
    <t>Needs quote engine integration for aftermarket parts platform.</t>
  </si>
  <si>
    <t>Crestview Cold Storage</t>
  </si>
  <si>
    <t>Lisa Thompson</t>
  </si>
  <si>
    <t>Exploring automated palletizing solutions and sensors.</t>
  </si>
  <si>
    <t>Atlas Distribution</t>
  </si>
  <si>
    <t>Brian Wright</t>
  </si>
  <si>
    <t>Initial call regarding lifecycle service agreements and support.</t>
  </si>
  <si>
    <t>Quantum Dynamics</t>
  </si>
  <si>
    <t>Megan Foster</t>
  </si>
  <si>
    <t>Request for proposals on custom structural steel subassemblies.</t>
  </si>
  <si>
    <t>Midwest Processing</t>
  </si>
  <si>
    <t>Kevin O'Brien</t>
  </si>
  <si>
    <t>Scheduling demo for predictive demand forecasting dashboard.</t>
  </si>
  <si>
    <t>Pinnacle Automation</t>
  </si>
  <si>
    <t>Derek Vance</t>
  </si>
  <si>
    <t>Upgrading packaging sorter lines and conveyor belts.</t>
  </si>
  <si>
    <t>Cascade Fresh Foods</t>
  </si>
  <si>
    <t>Samantha Cole</t>
  </si>
  <si>
    <t>Inquired about poultry processing sanitation units.</t>
  </si>
  <si>
    <t>Ironclad Logistics</t>
  </si>
  <si>
    <t>Marcus Brody</t>
  </si>
  <si>
    <t>Full facility aftermarket parts overhaul and audit.</t>
  </si>
  <si>
    <t>Titan Material Handling</t>
  </si>
  <si>
    <t>Elena Torres</t>
  </si>
  <si>
    <t>Quote request for automated palletizing systems.</t>
  </si>
  <si>
    <t>Northern Grain Co.</t>
  </si>
  <si>
    <t>Jacob Miller</t>
  </si>
  <si>
    <t>Bulk replacement components for grain elevators.</t>
  </si>
  <si>
    <t>Apex Cold Logistics</t>
  </si>
  <si>
    <t>Karen Lin</t>
  </si>
  <si>
    <t>Temperature-controlled conveyor drive integrations.</t>
  </si>
  <si>
    <t>Frontier Processing</t>
  </si>
  <si>
    <t>David Sterling</t>
  </si>
  <si>
    <t>Evaluating predictive maintenance sensors for OCs.</t>
  </si>
  <si>
    <t>Summit Pharma Tech</t>
  </si>
  <si>
    <t>Rachel Higgins</t>
  </si>
  <si>
    <t>High-precision sorting equipment for cleanrooms.</t>
  </si>
  <si>
    <t>Midwest Meat Crafters</t>
  </si>
  <si>
    <t>Tom Gallagher</t>
  </si>
  <si>
    <t>Replacing legacy belt systems with round smooth bearings.</t>
  </si>
  <si>
    <t>Blue Wave Bottling</t>
  </si>
  <si>
    <t>Maria Santos</t>
  </si>
  <si>
    <t>High-speed liquid capping line automation quote.</t>
  </si>
  <si>
    <t>Heartland Energy Ops</t>
  </si>
  <si>
    <t>Greg Patterson</t>
  </si>
  <si>
    <t>Regional facility lifecycle management agreement.</t>
  </si>
  <si>
    <t>Redwood Packaging</t>
  </si>
  <si>
    <t>Chloe Bennett</t>
  </si>
  <si>
    <t>End-of-line case packing robotic cells inquiry.</t>
  </si>
  <si>
    <t>Delta Freight Systems</t>
  </si>
  <si>
    <t>Anthony Reed</t>
  </si>
  <si>
    <t>Warehouse sorting hub software &amp; parts tracking.</t>
  </si>
  <si>
    <t>Prairie Agricultural</t>
  </si>
  <si>
    <t>Laura Ingalls</t>
  </si>
  <si>
    <t>Heavy-duty bagging and weighing machinery overhaul.</t>
  </si>
  <si>
    <t>Metro Distribution Hub</t>
  </si>
  <si>
    <t>Victor Vance</t>
  </si>
  <si>
    <t>Automated guided vehicle (AGV) docking integration.</t>
  </si>
  <si>
    <t>Great Lakes Marine Supply</t>
  </si>
  <si>
    <t>Mark Olson</t>
  </si>
  <si>
    <t>Corrosion-resistant stainless subassembly parts.</t>
  </si>
  <si>
    <t>Horizon BioHealth</t>
  </si>
  <si>
    <t>Dr. Aris Thorne</t>
  </si>
  <si>
    <t>Automated sterile vial packaging line proposal.</t>
  </si>
  <si>
    <t>Keystone Manufacturing</t>
  </si>
  <si>
    <t>Brian Cox</t>
  </si>
  <si>
    <t>Multi-site aftermarket quote application rollout.</t>
  </si>
  <si>
    <t>Sunbelt Citrus Pack</t>
  </si>
  <si>
    <t>Alicia Mendez</t>
  </si>
  <si>
    <t>Fruit sorting optical sensors and replacement belts.</t>
  </si>
  <si>
    <t>NorthStar Storage</t>
  </si>
  <si>
    <t>Kevin Brooks</t>
  </si>
  <si>
    <t>Cold-storage automated rack and retrieval systems.</t>
  </si>
  <si>
    <t>Vantage Industrial</t>
  </si>
  <si>
    <t>Diana Prince</t>
  </si>
  <si>
    <t>Custom machinery configuration history tracking tool.</t>
  </si>
  <si>
    <t>Silverline Bakeries</t>
  </si>
  <si>
    <t>Chef Leo Rossi</t>
  </si>
  <si>
    <t>High-temperature oven conveyor belt assemblies.</t>
  </si>
  <si>
    <t>Wolverine Tool &amp; Die</t>
  </si>
  <si>
    <t>Scott Summers</t>
  </si>
  <si>
    <t>Precision metal stamping component supply contract.</t>
  </si>
  <si>
    <t>Evergreen Dairy Group</t>
  </si>
  <si>
    <t>Hannah Abbott</t>
  </si>
  <si>
    <t>Sanitary liquid filling line parts and emergency service.</t>
  </si>
  <si>
    <t>Tri-State Recycling</t>
  </si>
  <si>
    <t>Ray Stantz</t>
  </si>
  <si>
    <t>Heavy-duty sorting shredders and motor drives.</t>
  </si>
  <si>
    <t>Gateway Logistics</t>
  </si>
  <si>
    <t>Charles Xavier</t>
  </si>
  <si>
    <t>Cross-docking automated sorting and scanning portal.</t>
  </si>
  <si>
    <t>Anchor Bay Seafood</t>
  </si>
  <si>
    <t>Captain Dan Taylor</t>
  </si>
  <si>
    <t>Washdown-certified packaging conveyor upgrades.</t>
  </si>
  <si>
    <t>Pacific Rim Commerce</t>
  </si>
  <si>
    <t>Kenji Sato</t>
  </si>
  <si>
    <t>Automated export pallet wrapping machine line.</t>
  </si>
  <si>
    <t>Liberty Defense Systems</t>
  </si>
  <si>
    <t>Col. James Rhodes</t>
  </si>
  <si>
    <t>Secure automated parts inventory tracking software.</t>
  </si>
  <si>
    <t>Pioneer Feed &amp; Seed</t>
  </si>
  <si>
    <t>Arthur Pendelton</t>
  </si>
  <si>
    <t>Bulk seed bagging line automation and spare parts.</t>
  </si>
  <si>
    <t>Golden State Canners</t>
  </si>
  <si>
    <t>Susan Delgado</t>
  </si>
  <si>
    <t>High-volume canning line synchronization service.</t>
  </si>
  <si>
    <t>Oakridge Timber Products</t>
  </si>
  <si>
    <t>Hank Lawson</t>
  </si>
  <si>
    <t>Heavy timber conveyance drives and rugged belts.</t>
  </si>
  <si>
    <t>Apex Global Freight</t>
  </si>
  <si>
    <t>Monica Rambeau</t>
  </si>
  <si>
    <t>Distribution center lifecycle analytics dashboard.</t>
  </si>
  <si>
    <t>Valley Fresh Organics</t>
  </si>
  <si>
    <t>Oliver Queen</t>
  </si>
  <si>
    <t>Sustainable packaging material handling machinery.</t>
  </si>
  <si>
    <t>Iron Range Minerals</t>
  </si>
  <si>
    <t>Bruce Wayne</t>
  </si>
  <si>
    <t>Ore sorting heavy conveyor subassemblies.</t>
  </si>
  <si>
    <t>Buckeye Logistics</t>
  </si>
  <si>
    <t>Barry Allen</t>
  </si>
  <si>
    <t>Rapid parcel sorting hub conveyor replacements.</t>
  </si>
  <si>
    <t>Chesapeake Bay Seafood</t>
  </si>
  <si>
    <t>Arthur Curry</t>
  </si>
  <si>
    <t>Stainless steel shell-cracking conveyor lines.</t>
  </si>
  <si>
    <t>Empire State Fulfillment</t>
  </si>
  <si>
    <t>Peter Parker</t>
  </si>
  <si>
    <t>Multi-level warehouse pick-and-pack robotics.</t>
  </si>
  <si>
    <t>Lone Star Bottling</t>
  </si>
  <si>
    <t>Texas Red</t>
  </si>
  <si>
    <t>High-speed beverage canning and labeling machinery.</t>
  </si>
  <si>
    <t>Cascade Chemical Ops</t>
  </si>
  <si>
    <t>Pamela Isley</t>
  </si>
  <si>
    <t>Corrosion-proof chemical tote handling lines.</t>
  </si>
  <si>
    <t>Allegheny Steel Works</t>
  </si>
  <si>
    <t>Tony Stark</t>
  </si>
  <si>
    <t>Heavy furnace automated feed subassemblies.</t>
  </si>
  <si>
    <t>Sun City Produce</t>
  </si>
  <si>
    <t>Clark Kent</t>
  </si>
  <si>
    <t>Hydro-cooling conveyor line for produce packing.</t>
  </si>
  <si>
    <t>Magnolia Distilling</t>
  </si>
  <si>
    <t>Remus Lupin</t>
  </si>
  <si>
    <t>Barrel handling and automated bottling conveyors.</t>
  </si>
  <si>
    <t>Prairie State Logistics</t>
  </si>
  <si>
    <t>Natasha Romanoff</t>
  </si>
  <si>
    <t>Fleet loading dock levelers and automated arms.</t>
  </si>
  <si>
    <t>Gotham Industrial</t>
  </si>
  <si>
    <t>Harvey Dent</t>
  </si>
  <si>
    <t>Custom gear drive subassembly replacement contract.</t>
  </si>
  <si>
    <t>New England Packers</t>
  </si>
  <si>
    <t>Steve Rogers</t>
  </si>
  <si>
    <t>Vacuum-seal meat packaging automated line.</t>
  </si>
  <si>
    <t>Wasatch Mining Co.</t>
  </si>
  <si>
    <t>Logan Howlett</t>
  </si>
  <si>
    <t>Extreme-environment belt drives and bearings.</t>
  </si>
  <si>
    <t>Bay Area Tech Logistics</t>
  </si>
  <si>
    <t>Barbara Gordon</t>
  </si>
  <si>
    <t>Micro-fulfillment automated sorting system.</t>
  </si>
  <si>
    <t xml:space="preserve">Customer and Revenue Assumptions </t>
  </si>
  <si>
    <t>Assumption</t>
  </si>
  <si>
    <t>Example</t>
  </si>
  <si>
    <t xml:space="preserve">Units </t>
  </si>
  <si>
    <t>Beginning customers</t>
  </si>
  <si>
    <t xml:space="preserve">customers </t>
  </si>
  <si>
    <t>New customers  Month 1</t>
  </si>
  <si>
    <t>Monthly churn</t>
  </si>
  <si>
    <t>%</t>
  </si>
  <si>
    <t>Free → Paid conversion</t>
  </si>
  <si>
    <t>Trial period</t>
  </si>
  <si>
    <t>days</t>
  </si>
  <si>
    <t>Weighted Average ARPU</t>
  </si>
  <si>
    <t xml:space="preserve">for pricing tiers </t>
  </si>
  <si>
    <t xml:space="preserve">SAAS Pricing Assumptions </t>
  </si>
  <si>
    <t>Plan</t>
  </si>
  <si>
    <t>Price / Month</t>
  </si>
  <si>
    <t>% of Customers</t>
  </si>
  <si>
    <t>Trial</t>
  </si>
  <si>
    <t>Pro</t>
  </si>
  <si>
    <t>Enterprise</t>
  </si>
  <si>
    <t xml:space="preserve">Customer Acquistion Assumptions </t>
  </si>
  <si>
    <t>Monthly marketing spend</t>
  </si>
  <si>
    <t xml:space="preserve">Leads Generated </t>
  </si>
  <si>
    <t>Lead → trial conversion</t>
  </si>
  <si>
    <t>Trial → paid conversion</t>
  </si>
  <si>
    <t xml:space="preserve">COGS Assumptions </t>
  </si>
  <si>
    <t>Cost</t>
  </si>
  <si>
    <t>Cloud hosting</t>
  </si>
  <si>
    <t>$5 / customer</t>
  </si>
  <si>
    <t>Payment processing</t>
  </si>
  <si>
    <t>2.9% of revenue</t>
  </si>
  <si>
    <t xml:space="preserve">Third-party APIs - for customer support </t>
  </si>
  <si>
    <t>$1 / customer</t>
  </si>
  <si>
    <t>Other direct costs</t>
  </si>
  <si>
    <t>1% of revenue</t>
  </si>
  <si>
    <t xml:space="preserve">Headcount Assumptions </t>
  </si>
  <si>
    <t xml:space="preserve">Employees not getting paid yet </t>
  </si>
  <si>
    <t xml:space="preserve">OPEX Assumptions </t>
  </si>
  <si>
    <t>Category</t>
  </si>
  <si>
    <t>Expense</t>
  </si>
  <si>
    <t>Sales &amp; Marketing</t>
  </si>
  <si>
    <t>UGC / AI content</t>
  </si>
  <si>
    <t>$25/mo</t>
  </si>
  <si>
    <t>Events</t>
  </si>
  <si>
    <t>$0/mo</t>
  </si>
  <si>
    <t>Other S&amp;M / demos</t>
  </si>
  <si>
    <t>R&amp;D</t>
  </si>
  <si>
    <t>Development software</t>
  </si>
  <si>
    <t>Product tools</t>
  </si>
  <si>
    <t>$10/mo</t>
  </si>
  <si>
    <t>Contractors / interns</t>
  </si>
  <si>
    <t>G&amp;A</t>
  </si>
  <si>
    <t>Legal</t>
  </si>
  <si>
    <t>Insurance</t>
  </si>
  <si>
    <t xml:space="preserve">Liability Insurance </t>
  </si>
  <si>
    <t>$20/mo</t>
  </si>
  <si>
    <t xml:space="preserve">Cyber Insurance </t>
  </si>
  <si>
    <t xml:space="preserve">Software / Workspace </t>
  </si>
  <si>
    <t>Travel</t>
  </si>
  <si>
    <t>Other G&amp;A</t>
  </si>
  <si>
    <t xml:space="preserve">Total Customers </t>
  </si>
  <si>
    <t>Total EBIT</t>
  </si>
  <si>
    <t xml:space="preserve">Total Revenue </t>
  </si>
  <si>
    <t xml:space="preserve">Financial Model </t>
  </si>
  <si>
    <t>Line Item</t>
  </si>
  <si>
    <t xml:space="preserve">Aquisition funnel </t>
  </si>
  <si>
    <t xml:space="preserve">Leads Generated - </t>
  </si>
  <si>
    <t>Lead $\to$ Trial Conversion</t>
  </si>
  <si>
    <t>Trials Started</t>
  </si>
  <si>
    <t>Trial $\to$ Paid Conversion</t>
  </si>
  <si>
    <t>New Paid Customers</t>
  </si>
  <si>
    <t>Customer Waterfall</t>
  </si>
  <si>
    <t>Beginning Active Customers</t>
  </si>
  <si>
    <t>Monthly Churn Rate</t>
  </si>
  <si>
    <t>(-) Churned Customers</t>
  </si>
  <si>
    <t>Ending Active Customers</t>
  </si>
  <si>
    <t>Customer Breakdown</t>
  </si>
  <si>
    <t xml:space="preserve">Trial Tier Customers </t>
  </si>
  <si>
    <t xml:space="preserve">Pro Tier Customers </t>
  </si>
  <si>
    <t xml:space="preserve">Enterprise Tier Customers </t>
  </si>
  <si>
    <t>Revenue Build (MRR)</t>
  </si>
  <si>
    <t>Basic Plan Revenue</t>
  </si>
  <si>
    <t>Pro Plan Revenue</t>
  </si>
  <si>
    <t>Enterprise Plan Revenue</t>
  </si>
  <si>
    <t>Total MRR</t>
  </si>
  <si>
    <t>COGS</t>
  </si>
  <si>
    <t>Cloud Hosting</t>
  </si>
  <si>
    <t>Payment Processing</t>
  </si>
  <si>
    <t>Third-Party APIs</t>
  </si>
  <si>
    <t>Other Direct Costs</t>
  </si>
  <si>
    <t>Total COGS</t>
  </si>
  <si>
    <t>Operating Expenses</t>
  </si>
  <si>
    <t>Customer Acquisition / Marketing</t>
  </si>
  <si>
    <t>UGC / AI Content</t>
  </si>
  <si>
    <t>Other S&amp;M / Demos</t>
  </si>
  <si>
    <t>Development Software</t>
  </si>
  <si>
    <t>Contractors</t>
  </si>
  <si>
    <t>Prototypes</t>
  </si>
  <si>
    <t>Software / Workspace</t>
  </si>
  <si>
    <t>Total OPEX</t>
  </si>
  <si>
    <t xml:space="preserve">EBIT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</si>
</sst>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3" fillId="2" borderId="0" xfId="0" applyFont="1" applyFill="1" applyAlignment="1">
      <alignment vertical="center"/>
    </xf>
    <xf numFmtId="6" fontId="0" fillId="0" borderId="0" xfId="0" applyNumberFormat="1"/>
    <xf numFmtId="44" fontId="0" fillId="0" borderId="0" xfId="1" applyFont="1"/>
    <xf numFmtId="8" fontId="0" fillId="0" borderId="0" xfId="0" applyNumberFormat="1"/>
    <xf numFmtId="9" fontId="0" fillId="0" borderId="0" xfId="2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2" fillId="4" borderId="4" xfId="0" applyFont="1" applyFill="1" applyBorder="1"/>
    <xf numFmtId="0" fontId="12" fillId="4" borderId="2" xfId="0" applyFont="1" applyFill="1" applyBorder="1"/>
    <xf numFmtId="17" fontId="12" fillId="4" borderId="2" xfId="0" applyNumberFormat="1" applyFont="1" applyFill="1" applyBorder="1"/>
    <xf numFmtId="17" fontId="12" fillId="4" borderId="5" xfId="0" applyNumberFormat="1" applyFont="1" applyFill="1" applyBorder="1"/>
    <xf numFmtId="0" fontId="0" fillId="3" borderId="0" xfId="0" applyFill="1"/>
    <xf numFmtId="0" fontId="0" fillId="3" borderId="7" xfId="0" applyFill="1" applyBorder="1"/>
    <xf numFmtId="9" fontId="0" fillId="3" borderId="0" xfId="0" applyNumberFormat="1" applyFill="1"/>
    <xf numFmtId="9" fontId="0" fillId="3" borderId="7" xfId="0" applyNumberFormat="1" applyFill="1" applyBorder="1"/>
    <xf numFmtId="0" fontId="0" fillId="3" borderId="1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5" xfId="0" applyFill="1" applyBorder="1"/>
    <xf numFmtId="0" fontId="3" fillId="6" borderId="2" xfId="0" applyFont="1" applyFill="1" applyBorder="1"/>
    <xf numFmtId="6" fontId="3" fillId="6" borderId="2" xfId="0" applyNumberFormat="1" applyFont="1" applyFill="1" applyBorder="1"/>
    <xf numFmtId="6" fontId="3" fillId="6" borderId="5" xfId="0" applyNumberFormat="1" applyFont="1" applyFill="1" applyBorder="1"/>
    <xf numFmtId="0" fontId="3" fillId="6" borderId="0" xfId="0" applyFont="1" applyFill="1"/>
    <xf numFmtId="6" fontId="3" fillId="6" borderId="0" xfId="0" applyNumberFormat="1" applyFont="1" applyFill="1"/>
    <xf numFmtId="6" fontId="3" fillId="6" borderId="7" xfId="0" applyNumberFormat="1" applyFont="1" applyFill="1" applyBorder="1"/>
    <xf numFmtId="0" fontId="3" fillId="6" borderId="1" xfId="0" applyFont="1" applyFill="1" applyBorder="1"/>
    <xf numFmtId="6" fontId="3" fillId="6" borderId="1" xfId="0" applyNumberFormat="1" applyFont="1" applyFill="1" applyBorder="1"/>
    <xf numFmtId="6" fontId="3" fillId="6" borderId="9" xfId="0" applyNumberFormat="1" applyFont="1" applyFill="1" applyBorder="1"/>
    <xf numFmtId="1" fontId="15" fillId="0" borderId="0" xfId="0" applyNumberFormat="1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8" fontId="3" fillId="0" borderId="1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6" fontId="0" fillId="0" borderId="7" xfId="0" applyNumberFormat="1" applyBorder="1" applyAlignment="1">
      <alignment horizontal="right" vertical="center" wrapText="1"/>
    </xf>
    <xf numFmtId="8" fontId="0" fillId="0" borderId="7" xfId="0" applyNumberFormat="1" applyBorder="1" applyAlignment="1">
      <alignment horizontal="right" vertical="center" wrapText="1"/>
    </xf>
    <xf numFmtId="8" fontId="3" fillId="0" borderId="9" xfId="0" applyNumberFormat="1" applyFont="1" applyBorder="1" applyAlignment="1">
      <alignment horizontal="right" vertical="center" wrapText="1"/>
    </xf>
    <xf numFmtId="6" fontId="0" fillId="0" borderId="2" xfId="0" applyNumberFormat="1" applyBorder="1" applyAlignment="1">
      <alignment horizontal="right" vertical="center" wrapText="1"/>
    </xf>
    <xf numFmtId="6" fontId="3" fillId="0" borderId="1" xfId="0" applyNumberFormat="1" applyFont="1" applyBorder="1" applyAlignment="1">
      <alignment horizontal="right" vertical="center" wrapText="1"/>
    </xf>
    <xf numFmtId="6" fontId="0" fillId="0" borderId="5" xfId="0" applyNumberFormat="1" applyBorder="1" applyAlignment="1">
      <alignment horizontal="right" vertical="center" wrapText="1"/>
    </xf>
    <xf numFmtId="0" fontId="5" fillId="0" borderId="0" xfId="0" applyFont="1"/>
    <xf numFmtId="8" fontId="10" fillId="0" borderId="0" xfId="0" applyNumberFormat="1" applyFont="1"/>
    <xf numFmtId="0" fontId="0" fillId="0" borderId="0" xfId="0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6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/>
  </cellXfs>
  <cellStyles count="5">
    <cellStyle name="Currency" xfId="1" builtinId="4"/>
    <cellStyle name="Normal" xfId="0" builtinId="0"/>
    <cellStyle name="Normal 2" xfId="3" xr:uid="{988BE12E-E124-4C00-8143-6F8519B3CEDA}"/>
    <cellStyle name="Percent" xfId="2" builtinId="5"/>
    <cellStyle name="Percent 2" xfId="4" xr:uid="{FF711919-7F7D-4365-B5AD-13FACE48A4C2}"/>
  </cellStyles>
  <dxfs count="2">
    <dxf>
      <numFmt numFmtId="19" formatCode="m/d/yyyy"/>
    </dxf>
    <dxf>
      <font>
        <b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MRR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Model '!$D$19:$Y$19</c:f>
              <c:numCache>
                <c:formatCode>mmm\-yy</c:formatCode>
                <c:ptCount val="2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</c:numCache>
            </c:numRef>
          </c:cat>
          <c:val>
            <c:numRef>
              <c:f>'Financial Model '!$C$35:$Y$35</c:f>
              <c:numCache>
                <c:formatCode>"$"#,##0_);[Red]\("$"#,##0\)</c:formatCode>
                <c:ptCount val="23"/>
                <c:pt idx="0">
                  <c:v>126</c:v>
                </c:pt>
                <c:pt idx="1">
                  <c:v>140</c:v>
                </c:pt>
                <c:pt idx="2">
                  <c:v>154</c:v>
                </c:pt>
                <c:pt idx="3">
                  <c:v>168</c:v>
                </c:pt>
                <c:pt idx="4">
                  <c:v>182</c:v>
                </c:pt>
                <c:pt idx="5">
                  <c:v>196</c:v>
                </c:pt>
                <c:pt idx="6">
                  <c:v>196</c:v>
                </c:pt>
                <c:pt idx="7">
                  <c:v>196</c:v>
                </c:pt>
                <c:pt idx="8">
                  <c:v>196</c:v>
                </c:pt>
                <c:pt idx="9">
                  <c:v>196</c:v>
                </c:pt>
                <c:pt idx="10">
                  <c:v>196</c:v>
                </c:pt>
                <c:pt idx="11">
                  <c:v>308</c:v>
                </c:pt>
                <c:pt idx="12">
                  <c:v>364</c:v>
                </c:pt>
                <c:pt idx="13">
                  <c:v>686</c:v>
                </c:pt>
                <c:pt idx="14">
                  <c:v>728</c:v>
                </c:pt>
                <c:pt idx="15">
                  <c:v>714</c:v>
                </c:pt>
                <c:pt idx="16">
                  <c:v>700</c:v>
                </c:pt>
                <c:pt idx="17">
                  <c:v>686</c:v>
                </c:pt>
                <c:pt idx="18">
                  <c:v>672</c:v>
                </c:pt>
                <c:pt idx="19">
                  <c:v>658</c:v>
                </c:pt>
                <c:pt idx="20">
                  <c:v>644</c:v>
                </c:pt>
                <c:pt idx="21">
                  <c:v>630</c:v>
                </c:pt>
                <c:pt idx="22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6-480A-BA99-ECA832E120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5044287"/>
        <c:axId val="986265679"/>
      </c:lineChart>
      <c:dateAx>
        <c:axId val="71504428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65679"/>
        <c:crosses val="autoZero"/>
        <c:auto val="1"/>
        <c:lblOffset val="100"/>
        <c:baseTimeUnit val="months"/>
      </c:dateAx>
      <c:valAx>
        <c:axId val="98626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'Assumptions  '!$C$11</c:f>
              <c:strCache>
                <c:ptCount val="1"/>
                <c:pt idx="0">
                  <c:v>% of Customers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32-427E-BC08-6D1666041E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32-427E-BC08-6D1666041E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32-427E-BC08-6D1666041E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'Assumptions  '!$A$12:$A$14</c:f>
              <c:strCache>
                <c:ptCount val="3"/>
                <c:pt idx="0">
                  <c:v>Trial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'Assumptions  '!$C$12:$C$14</c:f>
              <c:numCache>
                <c:formatCode>0%</c:formatCode>
                <c:ptCount val="3"/>
                <c:pt idx="0">
                  <c:v>0.6</c:v>
                </c:pt>
                <c:pt idx="1">
                  <c:v>0.3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32-427E-BC08-6D1666041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110042</xdr:colOff>
      <xdr:row>2</xdr:row>
      <xdr:rowOff>1</xdr:rowOff>
    </xdr:from>
    <xdr:to>
      <xdr:col>4</xdr:col>
      <xdr:colOff>57726</xdr:colOff>
      <xdr:row>16</xdr:row>
      <xdr:rowOff>161637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385F25-142A-DE6C-0487-1AD7D4E81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316057</xdr:colOff>
      <xdr:row>1</xdr:row>
      <xdr:rowOff>54583</xdr:rowOff>
    </xdr:from>
    <xdr:to>
      <xdr:col>12</xdr:col>
      <xdr:colOff>432294</xdr:colOff>
      <xdr:row>16</xdr:row>
      <xdr:rowOff>111850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00658C-A3A2-4729-A261-BF1954904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7E02D-6835-4E19-B3DF-A08DCF006D40}" name="Table1" displayName="Table1" ref="A3:F69" totalsRowShown="0" headerRowDxfId="1">
  <autoFilter ref="A3:F69" xr:uid="{2127E02D-6835-4E19-B3DF-A08DCF006D40}"/>
  <tableColumns count="6">
    <tableColumn id="1" xr3:uid="{CAC69CC1-E165-4E87-95D8-30B2DF90A598}" name="Customer Name "/>
    <tableColumn id="2" xr3:uid="{C412D0BF-5956-4497-AB19-6C61CD4C03E4}" name="Date Found " dataDxfId="0"/>
    <tableColumn id="3" xr3:uid="{F685070E-EE1F-4796-8133-5DDBA2E7DBF5}" name="Primary Contact  "/>
    <tableColumn id="4" xr3:uid="{F513D4C9-F73D-48FD-A5E4-F19480D1C807}" name="Summary"/>
    <tableColumn id="5" xr3:uid="{D547FCC0-70A1-4F5D-8ACF-1C835EC13F35}" name="Customer Converted "/>
    <tableColumn id="6" xr3:uid="{0BEF78EC-B75B-469F-9E27-6CA4ABA756FB}" name="Contract Amount (Yearly) 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AB9F-72B6-4EFF-AFDD-6EA6D570D557}">
  <dimension ref="A1:H69"/>
  <sheetViews>
    <sheetView topLeftCell="A55" zoomScale="74" workbookViewId="0">
      <selection activeCell="A64" sqref="A64:F69"/>
    </sheetView>
  </sheetViews>
  <sheetFormatPr defaultColWidth="19.42578125" defaultRowHeight="16.899999999999999" customHeight="1"/>
  <cols>
    <col min="4" max="4" width="57.42578125" customWidth="1"/>
    <col min="6" max="6" width="28" customWidth="1"/>
    <col min="7" max="7" width="6.85546875" customWidth="1"/>
  </cols>
  <sheetData>
    <row r="1" spans="1:8" ht="16.899999999999999" customHeight="1">
      <c r="A1" s="82" t="s">
        <v>0</v>
      </c>
      <c r="B1" s="82"/>
    </row>
    <row r="3" spans="1:8" ht="16.899999999999999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3" t="s">
        <v>7</v>
      </c>
    </row>
    <row r="4" spans="1:8" ht="16.899999999999999" customHeight="1">
      <c r="A4" t="s">
        <v>8</v>
      </c>
      <c r="B4" s="2">
        <v>46154</v>
      </c>
      <c r="C4" t="s">
        <v>9</v>
      </c>
      <c r="D4" t="s">
        <v>10</v>
      </c>
      <c r="E4" t="s">
        <v>11</v>
      </c>
      <c r="F4" s="5">
        <v>145000</v>
      </c>
      <c r="H4">
        <f>COUNT(F4:F69)</f>
        <v>66</v>
      </c>
    </row>
    <row r="5" spans="1:8" ht="16.899999999999999" customHeight="1">
      <c r="A5" t="s">
        <v>12</v>
      </c>
      <c r="B5" s="2">
        <v>46160</v>
      </c>
      <c r="C5" t="s">
        <v>13</v>
      </c>
      <c r="D5" t="s">
        <v>14</v>
      </c>
      <c r="E5" t="s">
        <v>15</v>
      </c>
      <c r="F5" s="5">
        <v>82000</v>
      </c>
    </row>
    <row r="6" spans="1:8" ht="16.899999999999999" customHeight="1">
      <c r="A6" t="s">
        <v>16</v>
      </c>
      <c r="B6" s="2">
        <v>46166</v>
      </c>
      <c r="C6" t="s">
        <v>17</v>
      </c>
      <c r="D6" t="s">
        <v>18</v>
      </c>
      <c r="E6" t="s">
        <v>11</v>
      </c>
      <c r="F6" s="5">
        <v>210000</v>
      </c>
    </row>
    <row r="7" spans="1:8" ht="16.899999999999999" customHeight="1">
      <c r="A7" t="s">
        <v>19</v>
      </c>
      <c r="B7" s="2">
        <v>46175</v>
      </c>
      <c r="C7" t="s">
        <v>20</v>
      </c>
      <c r="D7" t="s">
        <v>21</v>
      </c>
      <c r="E7" t="s">
        <v>11</v>
      </c>
      <c r="F7" s="5">
        <v>350000</v>
      </c>
    </row>
    <row r="8" spans="1:8" ht="16.899999999999999" customHeight="1">
      <c r="A8" t="s">
        <v>22</v>
      </c>
      <c r="B8" s="2">
        <v>46183</v>
      </c>
      <c r="C8" t="s">
        <v>23</v>
      </c>
      <c r="D8" t="s">
        <v>24</v>
      </c>
      <c r="E8" t="s">
        <v>15</v>
      </c>
      <c r="F8" s="5">
        <v>65000</v>
      </c>
    </row>
    <row r="9" spans="1:8" ht="16.899999999999999" customHeight="1">
      <c r="A9" t="s">
        <v>25</v>
      </c>
      <c r="B9" s="2">
        <v>46188</v>
      </c>
      <c r="C9" t="s">
        <v>26</v>
      </c>
      <c r="D9" t="s">
        <v>27</v>
      </c>
      <c r="E9" t="s">
        <v>11</v>
      </c>
      <c r="F9" s="5">
        <v>120000</v>
      </c>
    </row>
    <row r="10" spans="1:8" ht="16.899999999999999" customHeight="1">
      <c r="A10" t="s">
        <v>28</v>
      </c>
      <c r="B10" s="2">
        <v>46195</v>
      </c>
      <c r="C10" t="s">
        <v>29</v>
      </c>
      <c r="D10" t="s">
        <v>30</v>
      </c>
      <c r="E10" t="s">
        <v>11</v>
      </c>
      <c r="F10" s="5">
        <v>480000</v>
      </c>
    </row>
    <row r="11" spans="1:8" ht="16.899999999999999" customHeight="1">
      <c r="A11" t="s">
        <v>31</v>
      </c>
      <c r="B11" s="2">
        <v>46204</v>
      </c>
      <c r="C11" t="s">
        <v>32</v>
      </c>
      <c r="D11" t="s">
        <v>33</v>
      </c>
      <c r="E11" t="s">
        <v>15</v>
      </c>
      <c r="F11" s="5">
        <v>95000</v>
      </c>
    </row>
    <row r="12" spans="1:8" ht="16.899999999999999" customHeight="1">
      <c r="A12" t="s">
        <v>34</v>
      </c>
      <c r="B12" s="2">
        <v>46212</v>
      </c>
      <c r="C12" t="s">
        <v>35</v>
      </c>
      <c r="D12" t="s">
        <v>36</v>
      </c>
      <c r="E12" t="s">
        <v>11</v>
      </c>
      <c r="F12" s="5">
        <v>275000</v>
      </c>
    </row>
    <row r="13" spans="1:8" ht="16.899999999999999" customHeight="1">
      <c r="A13" t="s">
        <v>37</v>
      </c>
      <c r="B13" s="2">
        <v>46219</v>
      </c>
      <c r="C13" t="s">
        <v>38</v>
      </c>
      <c r="D13" t="s">
        <v>39</v>
      </c>
      <c r="E13" t="s">
        <v>15</v>
      </c>
      <c r="F13" s="5">
        <v>50000</v>
      </c>
    </row>
    <row r="14" spans="1:8" ht="16.899999999999999" customHeight="1">
      <c r="A14" t="s">
        <v>40</v>
      </c>
      <c r="B14" s="2">
        <v>46231</v>
      </c>
      <c r="C14" t="s">
        <v>41</v>
      </c>
      <c r="D14" t="s">
        <v>42</v>
      </c>
      <c r="E14" t="s">
        <v>11</v>
      </c>
      <c r="F14" s="5">
        <v>190000</v>
      </c>
    </row>
    <row r="15" spans="1:8" ht="16.899999999999999" customHeight="1">
      <c r="A15" t="s">
        <v>43</v>
      </c>
      <c r="B15" s="2">
        <v>46239</v>
      </c>
      <c r="C15" t="s">
        <v>44</v>
      </c>
      <c r="D15" t="s">
        <v>45</v>
      </c>
      <c r="E15" t="s">
        <v>15</v>
      </c>
      <c r="F15" s="5">
        <v>110000</v>
      </c>
    </row>
    <row r="16" spans="1:8" ht="16.899999999999999" customHeight="1">
      <c r="A16" t="s">
        <v>46</v>
      </c>
      <c r="B16" s="2">
        <v>46246</v>
      </c>
      <c r="C16" t="s">
        <v>47</v>
      </c>
      <c r="D16" t="s">
        <v>48</v>
      </c>
      <c r="E16" t="s">
        <v>11</v>
      </c>
      <c r="F16" s="5">
        <v>210000</v>
      </c>
    </row>
    <row r="17" spans="1:6" ht="16.899999999999999" customHeight="1">
      <c r="A17" t="s">
        <v>49</v>
      </c>
      <c r="B17" s="2">
        <v>46253</v>
      </c>
      <c r="C17" t="s">
        <v>50</v>
      </c>
      <c r="D17" t="s">
        <v>51</v>
      </c>
      <c r="E17" t="s">
        <v>15</v>
      </c>
      <c r="F17" s="5">
        <v>85000</v>
      </c>
    </row>
    <row r="18" spans="1:6" ht="16.899999999999999" customHeight="1">
      <c r="A18" t="s">
        <v>52</v>
      </c>
      <c r="B18" s="2">
        <v>46261</v>
      </c>
      <c r="C18" t="s">
        <v>53</v>
      </c>
      <c r="D18" t="s">
        <v>54</v>
      </c>
      <c r="E18" t="s">
        <v>11</v>
      </c>
      <c r="F18" s="5">
        <v>320000</v>
      </c>
    </row>
    <row r="19" spans="1:6" ht="16.899999999999999" customHeight="1">
      <c r="A19" t="s">
        <v>55</v>
      </c>
      <c r="B19" s="2">
        <v>46268</v>
      </c>
      <c r="C19" t="s">
        <v>56</v>
      </c>
      <c r="D19" t="s">
        <v>57</v>
      </c>
      <c r="E19" t="s">
        <v>11</v>
      </c>
      <c r="F19" s="5">
        <v>450000</v>
      </c>
    </row>
    <row r="20" spans="1:6" ht="16.899999999999999" customHeight="1">
      <c r="A20" t="s">
        <v>58</v>
      </c>
      <c r="B20" s="2">
        <v>46276</v>
      </c>
      <c r="C20" t="s">
        <v>59</v>
      </c>
      <c r="D20" t="s">
        <v>60</v>
      </c>
      <c r="E20" t="s">
        <v>15</v>
      </c>
      <c r="F20" s="5">
        <v>60000</v>
      </c>
    </row>
    <row r="21" spans="1:6" ht="16.899999999999999" customHeight="1">
      <c r="A21" t="s">
        <v>61</v>
      </c>
      <c r="B21" s="2">
        <v>46283</v>
      </c>
      <c r="C21" t="s">
        <v>62</v>
      </c>
      <c r="D21" t="s">
        <v>63</v>
      </c>
      <c r="E21" t="s">
        <v>11</v>
      </c>
      <c r="F21" s="5">
        <v>175000</v>
      </c>
    </row>
    <row r="22" spans="1:6" ht="16.899999999999999" customHeight="1">
      <c r="A22" t="s">
        <v>64</v>
      </c>
      <c r="B22" s="2">
        <v>46290</v>
      </c>
      <c r="C22" t="s">
        <v>65</v>
      </c>
      <c r="D22" t="s">
        <v>66</v>
      </c>
      <c r="E22" t="s">
        <v>11</v>
      </c>
      <c r="F22" s="5">
        <v>130000</v>
      </c>
    </row>
    <row r="23" spans="1:6" ht="16.899999999999999" customHeight="1">
      <c r="A23" t="s">
        <v>67</v>
      </c>
      <c r="B23" s="2">
        <v>46297</v>
      </c>
      <c r="C23" t="s">
        <v>68</v>
      </c>
      <c r="D23" t="s">
        <v>69</v>
      </c>
      <c r="E23" t="s">
        <v>15</v>
      </c>
      <c r="F23" s="5">
        <v>290000</v>
      </c>
    </row>
    <row r="24" spans="1:6" ht="16.899999999999999" customHeight="1">
      <c r="A24" t="s">
        <v>70</v>
      </c>
      <c r="B24" s="2">
        <v>46305</v>
      </c>
      <c r="C24" t="s">
        <v>71</v>
      </c>
      <c r="D24" t="s">
        <v>72</v>
      </c>
      <c r="E24" t="s">
        <v>11</v>
      </c>
      <c r="F24" s="5">
        <v>240000</v>
      </c>
    </row>
    <row r="25" spans="1:6" ht="16.899999999999999" customHeight="1">
      <c r="A25" t="s">
        <v>73</v>
      </c>
      <c r="B25" s="2">
        <v>46311</v>
      </c>
      <c r="C25" t="s">
        <v>74</v>
      </c>
      <c r="D25" t="s">
        <v>75</v>
      </c>
      <c r="E25" t="s">
        <v>11</v>
      </c>
      <c r="F25" s="5">
        <v>380000</v>
      </c>
    </row>
    <row r="26" spans="1:6" ht="16.899999999999999" customHeight="1">
      <c r="A26" t="s">
        <v>76</v>
      </c>
      <c r="B26" s="2">
        <v>46319</v>
      </c>
      <c r="C26" t="s">
        <v>77</v>
      </c>
      <c r="D26" t="s">
        <v>78</v>
      </c>
      <c r="E26" t="s">
        <v>15</v>
      </c>
      <c r="F26" s="5">
        <v>110000</v>
      </c>
    </row>
    <row r="27" spans="1:6" ht="16.899999999999999" customHeight="1">
      <c r="A27" t="s">
        <v>79</v>
      </c>
      <c r="B27" s="2">
        <v>46327</v>
      </c>
      <c r="C27" t="s">
        <v>80</v>
      </c>
      <c r="D27" t="s">
        <v>81</v>
      </c>
      <c r="E27" t="s">
        <v>11</v>
      </c>
      <c r="F27" s="5">
        <v>520000</v>
      </c>
    </row>
    <row r="28" spans="1:6" ht="16.899999999999999" customHeight="1">
      <c r="A28" t="s">
        <v>82</v>
      </c>
      <c r="B28" s="2">
        <v>46335</v>
      </c>
      <c r="C28" t="s">
        <v>83</v>
      </c>
      <c r="D28" t="s">
        <v>84</v>
      </c>
      <c r="E28" t="s">
        <v>11</v>
      </c>
      <c r="F28" s="5">
        <v>195000</v>
      </c>
    </row>
    <row r="29" spans="1:6" ht="16.899999999999999" customHeight="1">
      <c r="A29" t="s">
        <v>85</v>
      </c>
      <c r="B29" s="2">
        <v>46341</v>
      </c>
      <c r="C29" t="s">
        <v>86</v>
      </c>
      <c r="D29" t="s">
        <v>87</v>
      </c>
      <c r="E29" t="s">
        <v>15</v>
      </c>
      <c r="F29" s="5">
        <v>75000</v>
      </c>
    </row>
    <row r="30" spans="1:6" ht="16.899999999999999" customHeight="1">
      <c r="A30" t="s">
        <v>88</v>
      </c>
      <c r="B30" s="2">
        <v>46348</v>
      </c>
      <c r="C30" t="s">
        <v>89</v>
      </c>
      <c r="D30" t="s">
        <v>90</v>
      </c>
      <c r="E30" t="s">
        <v>11</v>
      </c>
      <c r="F30" s="5">
        <v>310000</v>
      </c>
    </row>
    <row r="31" spans="1:6" ht="16.899999999999999" customHeight="1">
      <c r="A31" t="s">
        <v>91</v>
      </c>
      <c r="B31" s="2">
        <v>46359</v>
      </c>
      <c r="C31" t="s">
        <v>92</v>
      </c>
      <c r="D31" t="s">
        <v>93</v>
      </c>
      <c r="E31" t="s">
        <v>11</v>
      </c>
      <c r="F31" s="5">
        <v>140000</v>
      </c>
    </row>
    <row r="32" spans="1:6" ht="16.899999999999999" customHeight="1">
      <c r="A32" t="s">
        <v>94</v>
      </c>
      <c r="B32" s="2">
        <v>46366</v>
      </c>
      <c r="C32" t="s">
        <v>95</v>
      </c>
      <c r="D32" t="s">
        <v>96</v>
      </c>
      <c r="E32" t="s">
        <v>15</v>
      </c>
      <c r="F32" s="5">
        <v>410000</v>
      </c>
    </row>
    <row r="33" spans="1:6" ht="16.899999999999999" customHeight="1">
      <c r="A33" t="s">
        <v>97</v>
      </c>
      <c r="B33" s="2">
        <v>46373</v>
      </c>
      <c r="C33" t="s">
        <v>98</v>
      </c>
      <c r="D33" t="s">
        <v>99</v>
      </c>
      <c r="E33" t="s">
        <v>11</v>
      </c>
      <c r="F33" s="5">
        <v>260000</v>
      </c>
    </row>
    <row r="34" spans="1:6" ht="16.899999999999999" customHeight="1">
      <c r="A34" t="s">
        <v>100</v>
      </c>
      <c r="B34" s="2">
        <v>46395</v>
      </c>
      <c r="C34" t="s">
        <v>101</v>
      </c>
      <c r="D34" t="s">
        <v>102</v>
      </c>
      <c r="E34" t="s">
        <v>11</v>
      </c>
      <c r="F34" s="5">
        <v>185000</v>
      </c>
    </row>
    <row r="35" spans="1:6" ht="16.899999999999999" customHeight="1">
      <c r="A35" t="s">
        <v>103</v>
      </c>
      <c r="B35" s="2">
        <v>46401</v>
      </c>
      <c r="C35" t="s">
        <v>104</v>
      </c>
      <c r="D35" t="s">
        <v>105</v>
      </c>
      <c r="E35" t="s">
        <v>15</v>
      </c>
      <c r="F35" s="5">
        <v>220000</v>
      </c>
    </row>
    <row r="36" spans="1:6" ht="16.899999999999999" customHeight="1">
      <c r="A36" t="s">
        <v>106</v>
      </c>
      <c r="B36" s="2">
        <v>46409</v>
      </c>
      <c r="C36" t="s">
        <v>107</v>
      </c>
      <c r="D36" t="s">
        <v>108</v>
      </c>
      <c r="E36" t="s">
        <v>11</v>
      </c>
      <c r="F36" s="5">
        <v>165000</v>
      </c>
    </row>
    <row r="37" spans="1:6" ht="16.899999999999999" customHeight="1">
      <c r="A37" t="s">
        <v>109</v>
      </c>
      <c r="B37" s="2">
        <v>46416</v>
      </c>
      <c r="C37" t="s">
        <v>110</v>
      </c>
      <c r="D37" t="s">
        <v>111</v>
      </c>
      <c r="E37" t="s">
        <v>11</v>
      </c>
      <c r="F37" s="5">
        <v>295000</v>
      </c>
    </row>
    <row r="38" spans="1:6" ht="16.899999999999999" customHeight="1">
      <c r="A38" t="s">
        <v>112</v>
      </c>
      <c r="B38" s="2">
        <v>46423</v>
      </c>
      <c r="C38" t="s">
        <v>113</v>
      </c>
      <c r="D38" t="s">
        <v>114</v>
      </c>
      <c r="E38" t="s">
        <v>15</v>
      </c>
      <c r="F38" s="5">
        <v>90000</v>
      </c>
    </row>
    <row r="39" spans="1:6" ht="16.899999999999999" customHeight="1">
      <c r="A39" t="s">
        <v>115</v>
      </c>
      <c r="B39" s="2">
        <v>46430</v>
      </c>
      <c r="C39" t="s">
        <v>116</v>
      </c>
      <c r="D39" t="s">
        <v>117</v>
      </c>
      <c r="E39" t="s">
        <v>11</v>
      </c>
      <c r="F39" s="5">
        <v>340000</v>
      </c>
    </row>
    <row r="40" spans="1:6" ht="16.899999999999999" customHeight="1">
      <c r="A40" t="s">
        <v>118</v>
      </c>
      <c r="B40" s="2">
        <v>46438</v>
      </c>
      <c r="C40" t="s">
        <v>119</v>
      </c>
      <c r="D40" t="s">
        <v>120</v>
      </c>
      <c r="E40" t="s">
        <v>11</v>
      </c>
      <c r="F40" s="5">
        <v>480000</v>
      </c>
    </row>
    <row r="41" spans="1:6" ht="16.899999999999999" customHeight="1">
      <c r="A41" t="s">
        <v>121</v>
      </c>
      <c r="B41" s="2">
        <v>46448</v>
      </c>
      <c r="C41" t="s">
        <v>122</v>
      </c>
      <c r="D41" t="s">
        <v>123</v>
      </c>
      <c r="E41" t="s">
        <v>15</v>
      </c>
      <c r="F41" s="5">
        <v>150000</v>
      </c>
    </row>
    <row r="42" spans="1:6" ht="16.899999999999999" customHeight="1">
      <c r="A42" t="s">
        <v>124</v>
      </c>
      <c r="B42" s="2">
        <v>46455</v>
      </c>
      <c r="C42" t="s">
        <v>125</v>
      </c>
      <c r="D42" t="s">
        <v>126</v>
      </c>
      <c r="E42" t="s">
        <v>11</v>
      </c>
      <c r="F42" s="5">
        <v>215000</v>
      </c>
    </row>
    <row r="43" spans="1:6" ht="16.899999999999999" customHeight="1">
      <c r="A43" t="s">
        <v>127</v>
      </c>
      <c r="B43" s="2">
        <v>46463</v>
      </c>
      <c r="C43" t="s">
        <v>128</v>
      </c>
      <c r="D43" t="s">
        <v>129</v>
      </c>
      <c r="E43" t="s">
        <v>11</v>
      </c>
      <c r="F43" s="5">
        <v>375000</v>
      </c>
    </row>
    <row r="44" spans="1:6" ht="16.899999999999999" customHeight="1">
      <c r="A44" t="s">
        <v>130</v>
      </c>
      <c r="B44" s="2">
        <v>46472</v>
      </c>
      <c r="C44" t="s">
        <v>131</v>
      </c>
      <c r="D44" t="s">
        <v>132</v>
      </c>
      <c r="E44" t="s">
        <v>15</v>
      </c>
      <c r="F44" s="5">
        <v>550000</v>
      </c>
    </row>
    <row r="45" spans="1:6" ht="16.899999999999999" customHeight="1">
      <c r="A45" t="s">
        <v>133</v>
      </c>
      <c r="B45" s="2">
        <v>46481</v>
      </c>
      <c r="C45" t="s">
        <v>134</v>
      </c>
      <c r="D45" t="s">
        <v>135</v>
      </c>
      <c r="E45" t="s">
        <v>11</v>
      </c>
      <c r="F45" s="5">
        <v>125000</v>
      </c>
    </row>
    <row r="46" spans="1:6" ht="16.899999999999999" customHeight="1">
      <c r="A46" t="s">
        <v>136</v>
      </c>
      <c r="B46" s="2">
        <v>46489</v>
      </c>
      <c r="C46" t="s">
        <v>137</v>
      </c>
      <c r="D46" t="s">
        <v>138</v>
      </c>
      <c r="E46" t="s">
        <v>11</v>
      </c>
      <c r="F46" s="5">
        <v>310000</v>
      </c>
    </row>
    <row r="47" spans="1:6" ht="16.899999999999999" customHeight="1">
      <c r="A47" t="s">
        <v>139</v>
      </c>
      <c r="B47" s="2">
        <v>46496</v>
      </c>
      <c r="C47" t="s">
        <v>140</v>
      </c>
      <c r="D47" t="s">
        <v>141</v>
      </c>
      <c r="E47" t="s">
        <v>15</v>
      </c>
      <c r="F47" s="5">
        <v>105000</v>
      </c>
    </row>
    <row r="48" spans="1:6" ht="16.899999999999999" customHeight="1">
      <c r="A48" t="s">
        <v>142</v>
      </c>
      <c r="B48" s="2">
        <v>46504</v>
      </c>
      <c r="C48" t="s">
        <v>143</v>
      </c>
      <c r="D48" t="s">
        <v>144</v>
      </c>
      <c r="E48" t="s">
        <v>11</v>
      </c>
      <c r="F48" s="5">
        <v>280000</v>
      </c>
    </row>
    <row r="49" spans="1:6" ht="16.899999999999999" customHeight="1">
      <c r="A49" t="s">
        <v>145</v>
      </c>
      <c r="B49" s="2">
        <v>46512</v>
      </c>
      <c r="C49" t="s">
        <v>146</v>
      </c>
      <c r="D49" t="s">
        <v>147</v>
      </c>
      <c r="E49" t="s">
        <v>11</v>
      </c>
      <c r="F49" s="5">
        <v>190000</v>
      </c>
    </row>
    <row r="50" spans="1:6" ht="16.899999999999999" customHeight="1">
      <c r="A50" t="s">
        <v>148</v>
      </c>
      <c r="B50" s="2">
        <v>46521</v>
      </c>
      <c r="C50" t="s">
        <v>149</v>
      </c>
      <c r="D50" t="s">
        <v>150</v>
      </c>
      <c r="E50" t="s">
        <v>15</v>
      </c>
      <c r="F50" s="5">
        <v>620000</v>
      </c>
    </row>
    <row r="51" spans="1:6" ht="16.899999999999999" customHeight="1">
      <c r="A51" t="s">
        <v>151</v>
      </c>
      <c r="B51" s="2">
        <v>46529</v>
      </c>
      <c r="C51" t="s">
        <v>152</v>
      </c>
      <c r="D51" t="s">
        <v>153</v>
      </c>
      <c r="E51" t="s">
        <v>11</v>
      </c>
      <c r="F51" s="5">
        <v>410000</v>
      </c>
    </row>
    <row r="52" spans="1:6" ht="16.899999999999999" customHeight="1">
      <c r="A52" t="s">
        <v>154</v>
      </c>
      <c r="B52" s="2">
        <v>46540</v>
      </c>
      <c r="C52" t="s">
        <v>155</v>
      </c>
      <c r="D52" t="s">
        <v>156</v>
      </c>
      <c r="E52" t="s">
        <v>11</v>
      </c>
      <c r="F52" s="5">
        <v>230000</v>
      </c>
    </row>
    <row r="53" spans="1:6" ht="16.899999999999999" customHeight="1">
      <c r="A53" t="s">
        <v>157</v>
      </c>
      <c r="B53" s="2">
        <v>46548</v>
      </c>
      <c r="C53" t="s">
        <v>158</v>
      </c>
      <c r="D53" t="s">
        <v>159</v>
      </c>
      <c r="E53" t="s">
        <v>15</v>
      </c>
      <c r="F53" s="5">
        <v>350000</v>
      </c>
    </row>
    <row r="54" spans="1:6" ht="16.899999999999999" customHeight="1">
      <c r="A54" t="s">
        <v>160</v>
      </c>
      <c r="B54" s="2">
        <v>46556</v>
      </c>
      <c r="C54" t="s">
        <v>161</v>
      </c>
      <c r="D54" t="s">
        <v>162</v>
      </c>
      <c r="E54" t="s">
        <v>11</v>
      </c>
      <c r="F54" s="5">
        <v>490000</v>
      </c>
    </row>
    <row r="55" spans="1:6" ht="16.899999999999999" customHeight="1">
      <c r="A55" t="s">
        <v>163</v>
      </c>
      <c r="B55" s="2">
        <v>46563</v>
      </c>
      <c r="C55" t="s">
        <v>164</v>
      </c>
      <c r="D55" t="s">
        <v>165</v>
      </c>
      <c r="E55" t="s">
        <v>11</v>
      </c>
      <c r="F55" s="5">
        <v>170000</v>
      </c>
    </row>
    <row r="56" spans="1:6" ht="16.899999999999999" customHeight="1">
      <c r="A56" t="s">
        <v>166</v>
      </c>
      <c r="B56" s="2">
        <v>46571</v>
      </c>
      <c r="C56" t="s">
        <v>167</v>
      </c>
      <c r="D56" t="s">
        <v>168</v>
      </c>
      <c r="E56" t="s">
        <v>15</v>
      </c>
      <c r="F56" s="5">
        <v>800000</v>
      </c>
    </row>
    <row r="57" spans="1:6" ht="16.899999999999999" customHeight="1">
      <c r="A57" t="s">
        <v>169</v>
      </c>
      <c r="B57" s="2">
        <v>46579</v>
      </c>
      <c r="C57" t="s">
        <v>170</v>
      </c>
      <c r="D57" t="s">
        <v>171</v>
      </c>
      <c r="E57" t="s">
        <v>11</v>
      </c>
      <c r="F57" s="5">
        <v>205000</v>
      </c>
    </row>
    <row r="58" spans="1:6" ht="16.899999999999999" customHeight="1">
      <c r="A58" t="s">
        <v>172</v>
      </c>
      <c r="B58" s="2">
        <v>46587</v>
      </c>
      <c r="C58" t="s">
        <v>173</v>
      </c>
      <c r="D58" t="s">
        <v>174</v>
      </c>
      <c r="E58" t="s">
        <v>11</v>
      </c>
      <c r="F58" s="5">
        <v>260000</v>
      </c>
    </row>
    <row r="59" spans="1:6" ht="16.899999999999999" customHeight="1">
      <c r="A59" t="s">
        <v>175</v>
      </c>
      <c r="B59" s="2">
        <v>46596</v>
      </c>
      <c r="C59" t="s">
        <v>176</v>
      </c>
      <c r="D59" t="s">
        <v>177</v>
      </c>
      <c r="E59" t="s">
        <v>15</v>
      </c>
      <c r="F59" s="5">
        <v>145000</v>
      </c>
    </row>
    <row r="60" spans="1:6" ht="16.899999999999999" customHeight="1">
      <c r="A60" t="s">
        <v>178</v>
      </c>
      <c r="B60" s="2">
        <v>46603</v>
      </c>
      <c r="C60" t="s">
        <v>179</v>
      </c>
      <c r="D60" t="s">
        <v>180</v>
      </c>
      <c r="E60" t="s">
        <v>11</v>
      </c>
      <c r="F60" s="5">
        <v>330000</v>
      </c>
    </row>
    <row r="61" spans="1:6" ht="16.899999999999999" customHeight="1">
      <c r="A61" t="s">
        <v>181</v>
      </c>
      <c r="B61" s="2">
        <v>46610</v>
      </c>
      <c r="C61" t="s">
        <v>182</v>
      </c>
      <c r="D61" t="s">
        <v>183</v>
      </c>
      <c r="E61" t="s">
        <v>11</v>
      </c>
      <c r="F61" s="5">
        <v>420000</v>
      </c>
    </row>
    <row r="62" spans="1:6" ht="16.899999999999999" customHeight="1">
      <c r="A62" t="s">
        <v>184</v>
      </c>
      <c r="B62" s="2">
        <v>46618</v>
      </c>
      <c r="C62" t="s">
        <v>185</v>
      </c>
      <c r="D62" t="s">
        <v>186</v>
      </c>
      <c r="E62" t="s">
        <v>15</v>
      </c>
      <c r="F62" s="5">
        <v>275000</v>
      </c>
    </row>
    <row r="63" spans="1:6" ht="16.899999999999999" customHeight="1">
      <c r="A63" t="s">
        <v>187</v>
      </c>
      <c r="B63" s="2">
        <v>46626</v>
      </c>
      <c r="C63" t="s">
        <v>188</v>
      </c>
      <c r="D63" t="s">
        <v>189</v>
      </c>
      <c r="E63" t="s">
        <v>11</v>
      </c>
      <c r="F63" s="5">
        <v>510000</v>
      </c>
    </row>
    <row r="64" spans="1:6" ht="16.899999999999999" customHeight="1">
      <c r="A64" t="s">
        <v>187</v>
      </c>
      <c r="B64" s="2">
        <v>46626</v>
      </c>
      <c r="C64" t="s">
        <v>188</v>
      </c>
      <c r="D64" t="s">
        <v>189</v>
      </c>
      <c r="E64" t="s">
        <v>11</v>
      </c>
      <c r="F64" s="5">
        <v>510000</v>
      </c>
    </row>
    <row r="65" spans="1:6" ht="16.899999999999999" customHeight="1">
      <c r="A65" t="s">
        <v>187</v>
      </c>
      <c r="B65" s="2">
        <v>46626</v>
      </c>
      <c r="C65" t="s">
        <v>188</v>
      </c>
      <c r="D65" t="s">
        <v>189</v>
      </c>
      <c r="E65" t="s">
        <v>11</v>
      </c>
      <c r="F65" s="5">
        <v>510000</v>
      </c>
    </row>
    <row r="66" spans="1:6" ht="16.899999999999999" customHeight="1">
      <c r="A66" t="s">
        <v>187</v>
      </c>
      <c r="B66" s="2">
        <v>46626</v>
      </c>
      <c r="C66" t="s">
        <v>188</v>
      </c>
      <c r="D66" t="s">
        <v>189</v>
      </c>
      <c r="E66" t="s">
        <v>11</v>
      </c>
      <c r="F66" s="5">
        <v>510000</v>
      </c>
    </row>
    <row r="67" spans="1:6" ht="16.899999999999999" customHeight="1">
      <c r="A67" t="s">
        <v>187</v>
      </c>
      <c r="B67" s="2">
        <v>46626</v>
      </c>
      <c r="C67" t="s">
        <v>188</v>
      </c>
      <c r="D67" t="s">
        <v>189</v>
      </c>
      <c r="E67" t="s">
        <v>11</v>
      </c>
      <c r="F67" s="5">
        <v>510000</v>
      </c>
    </row>
    <row r="68" spans="1:6" ht="16.899999999999999" customHeight="1">
      <c r="A68" t="s">
        <v>187</v>
      </c>
      <c r="B68" s="2">
        <v>46626</v>
      </c>
      <c r="C68" t="s">
        <v>188</v>
      </c>
      <c r="D68" t="s">
        <v>189</v>
      </c>
      <c r="E68" t="s">
        <v>11</v>
      </c>
      <c r="F68" s="5">
        <v>510000</v>
      </c>
    </row>
    <row r="69" spans="1:6" ht="16.899999999999999" customHeight="1">
      <c r="A69" t="s">
        <v>187</v>
      </c>
      <c r="B69" s="2">
        <v>46626</v>
      </c>
      <c r="C69" t="s">
        <v>188</v>
      </c>
      <c r="D69" t="s">
        <v>189</v>
      </c>
      <c r="E69" t="s">
        <v>11</v>
      </c>
      <c r="F69" s="5">
        <v>510000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A07A-DCFC-496A-91F0-4461111A8CAB}">
  <dimension ref="A1:D44"/>
  <sheetViews>
    <sheetView topLeftCell="A22" zoomScale="78" workbookViewId="0">
      <selection activeCell="E20" sqref="E20"/>
    </sheetView>
  </sheetViews>
  <sheetFormatPr defaultColWidth="23.85546875" defaultRowHeight="14.45"/>
  <cols>
    <col min="1" max="1" width="26.140625" customWidth="1"/>
    <col min="2" max="2" width="39.28515625" customWidth="1"/>
    <col min="3" max="3" width="33.28515625" customWidth="1"/>
  </cols>
  <sheetData>
    <row r="1" spans="1:4" ht="44.45" customHeight="1">
      <c r="A1" s="83" t="s">
        <v>190</v>
      </c>
      <c r="B1" s="83"/>
      <c r="C1" s="83"/>
    </row>
    <row r="2" spans="1:4">
      <c r="A2" s="8" t="s">
        <v>191</v>
      </c>
      <c r="B2" s="10" t="s">
        <v>192</v>
      </c>
      <c r="C2" s="10" t="s">
        <v>193</v>
      </c>
    </row>
    <row r="3" spans="1:4">
      <c r="A3" s="11" t="s">
        <v>194</v>
      </c>
      <c r="B3" s="9">
        <v>10</v>
      </c>
      <c r="C3" t="s">
        <v>195</v>
      </c>
    </row>
    <row r="4" spans="1:4">
      <c r="A4" s="11" t="s">
        <v>196</v>
      </c>
      <c r="B4" s="9">
        <v>2</v>
      </c>
      <c r="C4" s="7" t="s">
        <v>195</v>
      </c>
    </row>
    <row r="5" spans="1:4">
      <c r="A5" s="11" t="s">
        <v>197</v>
      </c>
      <c r="B5" s="12">
        <v>0.03</v>
      </c>
      <c r="C5" t="s">
        <v>198</v>
      </c>
    </row>
    <row r="6" spans="1:4">
      <c r="A6" s="11" t="s">
        <v>199</v>
      </c>
      <c r="B6" s="12">
        <v>0.1</v>
      </c>
      <c r="C6" t="s">
        <v>198</v>
      </c>
    </row>
    <row r="7" spans="1:4">
      <c r="A7" s="11" t="s">
        <v>200</v>
      </c>
      <c r="B7" s="9">
        <v>14</v>
      </c>
      <c r="C7" t="s">
        <v>201</v>
      </c>
    </row>
    <row r="8" spans="1:4">
      <c r="A8" s="11" t="s">
        <v>202</v>
      </c>
      <c r="B8" s="4">
        <f>(B12*C12)+(B13*C13)+(B14*C14)</f>
        <v>14</v>
      </c>
      <c r="D8" t="s">
        <v>203</v>
      </c>
    </row>
    <row r="9" spans="1:4">
      <c r="A9" s="11"/>
      <c r="B9" s="4"/>
    </row>
    <row r="10" spans="1:4" ht="39">
      <c r="A10" s="83" t="s">
        <v>204</v>
      </c>
      <c r="B10" s="83"/>
      <c r="C10" s="83"/>
    </row>
    <row r="11" spans="1:4">
      <c r="A11" s="8" t="s">
        <v>205</v>
      </c>
      <c r="B11" s="10" t="s">
        <v>206</v>
      </c>
      <c r="C11" s="10" t="s">
        <v>207</v>
      </c>
    </row>
    <row r="12" spans="1:4">
      <c r="A12" s="11" t="s">
        <v>208</v>
      </c>
      <c r="B12" s="13">
        <v>0</v>
      </c>
      <c r="C12" s="12">
        <v>0.6</v>
      </c>
    </row>
    <row r="13" spans="1:4">
      <c r="A13" s="11" t="s">
        <v>209</v>
      </c>
      <c r="B13" s="13">
        <v>20</v>
      </c>
      <c r="C13" s="12">
        <v>0.3</v>
      </c>
    </row>
    <row r="14" spans="1:4">
      <c r="A14" s="11" t="s">
        <v>210</v>
      </c>
      <c r="B14" s="13">
        <v>80</v>
      </c>
      <c r="C14" s="12">
        <v>0.1</v>
      </c>
    </row>
    <row r="15" spans="1:4" ht="39">
      <c r="A15" s="83" t="s">
        <v>211</v>
      </c>
      <c r="B15" s="83"/>
      <c r="C15" s="83"/>
    </row>
    <row r="16" spans="1:4">
      <c r="A16" s="8" t="s">
        <v>191</v>
      </c>
      <c r="B16" s="10" t="s">
        <v>192</v>
      </c>
    </row>
    <row r="17" spans="1:3">
      <c r="A17" s="11" t="s">
        <v>212</v>
      </c>
      <c r="B17" s="13">
        <v>100</v>
      </c>
    </row>
    <row r="18" spans="1:3">
      <c r="A18" s="11" t="s">
        <v>213</v>
      </c>
      <c r="B18" s="9">
        <v>50</v>
      </c>
    </row>
    <row r="19" spans="1:3">
      <c r="A19" s="11" t="s">
        <v>214</v>
      </c>
      <c r="B19" s="12">
        <v>0.2</v>
      </c>
    </row>
    <row r="20" spans="1:3">
      <c r="A20" s="11" t="s">
        <v>215</v>
      </c>
      <c r="B20" s="12">
        <v>0.05</v>
      </c>
    </row>
    <row r="21" spans="1:3">
      <c r="A21" s="14"/>
      <c r="B21" s="13"/>
    </row>
    <row r="22" spans="1:3" ht="39">
      <c r="A22" s="83" t="s">
        <v>216</v>
      </c>
      <c r="B22" s="83"/>
      <c r="C22" s="83"/>
    </row>
    <row r="23" spans="1:3">
      <c r="A23" s="8" t="s">
        <v>217</v>
      </c>
      <c r="B23" s="10" t="s">
        <v>191</v>
      </c>
    </row>
    <row r="24" spans="1:3">
      <c r="A24" s="11" t="s">
        <v>218</v>
      </c>
      <c r="B24" s="9" t="s">
        <v>219</v>
      </c>
    </row>
    <row r="25" spans="1:3">
      <c r="A25" s="11" t="s">
        <v>220</v>
      </c>
      <c r="B25" s="9" t="s">
        <v>221</v>
      </c>
    </row>
    <row r="26" spans="1:3" ht="28.9">
      <c r="A26" s="11" t="s">
        <v>222</v>
      </c>
      <c r="B26" s="9" t="s">
        <v>223</v>
      </c>
    </row>
    <row r="27" spans="1:3">
      <c r="A27" s="11" t="s">
        <v>224</v>
      </c>
      <c r="B27" s="9" t="s">
        <v>225</v>
      </c>
    </row>
    <row r="28" spans="1:3" ht="39">
      <c r="A28" s="83" t="s">
        <v>226</v>
      </c>
      <c r="B28" s="83"/>
      <c r="C28" s="83"/>
    </row>
    <row r="29" spans="1:3">
      <c r="A29" s="11" t="s">
        <v>227</v>
      </c>
    </row>
    <row r="30" spans="1:3" ht="30.6" customHeight="1">
      <c r="A30" s="83" t="s">
        <v>228</v>
      </c>
      <c r="B30" s="83"/>
      <c r="C30" s="83"/>
    </row>
    <row r="31" spans="1:3">
      <c r="A31" s="8" t="s">
        <v>229</v>
      </c>
      <c r="B31" s="8" t="s">
        <v>230</v>
      </c>
      <c r="C31" s="10" t="s">
        <v>192</v>
      </c>
    </row>
    <row r="32" spans="1:3">
      <c r="A32" s="14" t="s">
        <v>231</v>
      </c>
      <c r="B32" s="11" t="s">
        <v>232</v>
      </c>
      <c r="C32" s="10" t="s">
        <v>233</v>
      </c>
    </row>
    <row r="33" spans="1:3">
      <c r="A33" s="11"/>
      <c r="B33" s="11" t="s">
        <v>234</v>
      </c>
      <c r="C33" s="10" t="s">
        <v>235</v>
      </c>
    </row>
    <row r="34" spans="1:3">
      <c r="A34" s="11"/>
      <c r="B34" s="11" t="s">
        <v>236</v>
      </c>
      <c r="C34" s="10" t="s">
        <v>233</v>
      </c>
    </row>
    <row r="35" spans="1:3">
      <c r="A35" s="14" t="s">
        <v>237</v>
      </c>
      <c r="B35" s="11" t="s">
        <v>238</v>
      </c>
      <c r="C35" s="10" t="s">
        <v>233</v>
      </c>
    </row>
    <row r="36" spans="1:3">
      <c r="A36" s="11"/>
      <c r="B36" s="11" t="s">
        <v>239</v>
      </c>
      <c r="C36" s="10" t="s">
        <v>240</v>
      </c>
    </row>
    <row r="37" spans="1:3">
      <c r="A37" s="11"/>
      <c r="B37" s="11" t="s">
        <v>241</v>
      </c>
      <c r="C37" s="10" t="s">
        <v>235</v>
      </c>
    </row>
    <row r="38" spans="1:3">
      <c r="A38" s="14" t="s">
        <v>242</v>
      </c>
      <c r="B38" s="11" t="s">
        <v>243</v>
      </c>
      <c r="C38" s="10" t="s">
        <v>233</v>
      </c>
    </row>
    <row r="39" spans="1:3">
      <c r="A39" s="11"/>
      <c r="B39" s="14" t="s">
        <v>244</v>
      </c>
      <c r="C39" s="10" t="s">
        <v>233</v>
      </c>
    </row>
    <row r="40" spans="1:3">
      <c r="A40" s="11"/>
      <c r="B40" s="15" t="s">
        <v>245</v>
      </c>
      <c r="C40" s="16" t="s">
        <v>246</v>
      </c>
    </row>
    <row r="41" spans="1:3">
      <c r="A41" s="11"/>
      <c r="B41" s="15" t="s">
        <v>247</v>
      </c>
      <c r="C41" s="16" t="s">
        <v>233</v>
      </c>
    </row>
    <row r="42" spans="1:3">
      <c r="A42" s="11"/>
      <c r="B42" s="11" t="s">
        <v>248</v>
      </c>
      <c r="C42" s="10" t="s">
        <v>246</v>
      </c>
    </row>
    <row r="43" spans="1:3">
      <c r="A43" s="11"/>
      <c r="B43" s="11" t="s">
        <v>249</v>
      </c>
      <c r="C43" s="10" t="s">
        <v>235</v>
      </c>
    </row>
    <row r="44" spans="1:3">
      <c r="A44" s="11"/>
      <c r="B44" s="11" t="s">
        <v>250</v>
      </c>
      <c r="C44" s="10" t="s">
        <v>240</v>
      </c>
    </row>
  </sheetData>
  <mergeCells count="6">
    <mergeCell ref="A30:C30"/>
    <mergeCell ref="A1:C1"/>
    <mergeCell ref="A10:C10"/>
    <mergeCell ref="A15:C15"/>
    <mergeCell ref="A22:C22"/>
    <mergeCell ref="A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4530-C445-487F-BA8B-BBA728121C4C}">
  <dimension ref="A1:Y62"/>
  <sheetViews>
    <sheetView showGridLines="0" tabSelected="1" topLeftCell="A10" zoomScale="67" zoomScaleNormal="50" workbookViewId="0">
      <selection activeCell="B27" sqref="B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140625" defaultRowHeight="14.45"/>
  <cols>
    <col min="1" max="1" width="32.7109375" customWidth="1"/>
    <col min="2" max="2" width="29.5703125" customWidth="1"/>
    <col min="3" max="3" width="18.42578125" bestFit="1" customWidth="1"/>
    <col min="4" max="5" width="18.85546875" bestFit="1" customWidth="1"/>
    <col min="6" max="6" width="18.7109375" bestFit="1" customWidth="1"/>
    <col min="7" max="8" width="18.85546875" bestFit="1" customWidth="1"/>
    <col min="9" max="9" width="17.28515625" customWidth="1"/>
    <col min="10" max="10" width="20.7109375" customWidth="1"/>
    <col min="11" max="11" width="18.7109375" customWidth="1"/>
    <col min="12" max="12" width="19.85546875" customWidth="1"/>
    <col min="13" max="13" width="22.140625" customWidth="1"/>
    <col min="14" max="14" width="20.28515625" customWidth="1"/>
    <col min="15" max="15" width="17.140625" customWidth="1"/>
    <col min="16" max="16" width="27.140625" customWidth="1"/>
    <col min="17" max="17" width="23.28515625" customWidth="1"/>
    <col min="18" max="18" width="23.5703125" customWidth="1"/>
    <col min="19" max="19" width="20.7109375" customWidth="1"/>
    <col min="20" max="20" width="22.42578125" customWidth="1"/>
    <col min="21" max="21" width="20.28515625" customWidth="1"/>
    <col min="22" max="22" width="21.140625" customWidth="1"/>
    <col min="23" max="25" width="15.28515625" customWidth="1"/>
  </cols>
  <sheetData>
    <row r="1" spans="9:25" ht="9" customHeight="1"/>
    <row r="2" spans="9:25" ht="5.45" customHeight="1"/>
    <row r="3" spans="9:25" ht="30" customHeight="1">
      <c r="I3" s="80"/>
      <c r="N3" s="55" t="s">
        <v>251</v>
      </c>
      <c r="O3" s="73"/>
      <c r="P3" s="73"/>
      <c r="Q3" s="73"/>
      <c r="S3" s="53"/>
      <c r="T3" s="53"/>
      <c r="U3" s="53"/>
      <c r="V3" s="53"/>
      <c r="W3" s="53"/>
      <c r="X3" s="53"/>
      <c r="Y3" s="53"/>
    </row>
    <row r="4" spans="9:25" ht="33" customHeight="1">
      <c r="I4" s="80"/>
      <c r="N4" s="79">
        <f>SUM(C28:Y28)</f>
        <v>668</v>
      </c>
      <c r="O4" s="79"/>
      <c r="P4" s="79"/>
      <c r="Q4" s="79"/>
      <c r="S4" s="54"/>
      <c r="T4" s="54"/>
      <c r="U4" s="54"/>
      <c r="V4" s="54"/>
      <c r="W4" s="53"/>
      <c r="X4" s="53"/>
      <c r="Y4" s="53"/>
    </row>
    <row r="5" spans="9:25" ht="24" customHeight="1">
      <c r="I5" s="80"/>
      <c r="N5" s="79"/>
      <c r="O5" s="79"/>
      <c r="P5" s="79"/>
      <c r="Q5" s="79"/>
      <c r="S5" s="54"/>
      <c r="T5" s="54"/>
      <c r="U5" s="54"/>
      <c r="V5" s="54"/>
      <c r="W5" s="53"/>
      <c r="X5" s="53"/>
      <c r="Y5" s="53"/>
    </row>
    <row r="6" spans="9:25" ht="33" customHeight="1">
      <c r="I6" s="80"/>
      <c r="N6" s="79"/>
      <c r="O6" s="79"/>
      <c r="P6" s="79"/>
      <c r="Q6" s="79"/>
      <c r="S6" s="54"/>
      <c r="T6" s="54"/>
      <c r="U6" s="54"/>
      <c r="V6" s="54"/>
      <c r="W6" s="53"/>
      <c r="X6" s="53"/>
      <c r="Y6" s="53"/>
    </row>
    <row r="7" spans="9:25" ht="14.45" customHeight="1">
      <c r="I7" s="80"/>
      <c r="N7" s="79"/>
      <c r="O7" s="79"/>
      <c r="P7" s="79"/>
      <c r="Q7" s="79"/>
      <c r="S7" s="55" t="s">
        <v>252</v>
      </c>
      <c r="T7" s="55"/>
      <c r="U7" s="55"/>
      <c r="V7" s="55"/>
      <c r="W7" s="53"/>
      <c r="X7" s="53"/>
      <c r="Y7" s="53"/>
    </row>
    <row r="8" spans="9:25" ht="14.45" customHeight="1">
      <c r="I8" s="1"/>
      <c r="N8" s="38"/>
      <c r="O8" s="38"/>
      <c r="P8" s="38"/>
      <c r="Q8" s="38"/>
      <c r="S8" s="56"/>
      <c r="T8" s="56"/>
      <c r="U8" s="56"/>
      <c r="V8" s="56"/>
      <c r="W8" s="53"/>
      <c r="X8" s="53"/>
      <c r="Y8" s="53"/>
    </row>
    <row r="9" spans="9:25" ht="27.6" customHeight="1">
      <c r="N9" s="55" t="s">
        <v>253</v>
      </c>
      <c r="O9" s="73"/>
      <c r="P9" s="73"/>
      <c r="Q9" s="73"/>
      <c r="S9" s="57">
        <f>SUM(C56:Y56)</f>
        <v>1456.9919999999997</v>
      </c>
      <c r="T9" s="58"/>
      <c r="U9" s="58"/>
      <c r="V9" s="59"/>
      <c r="W9" s="53"/>
      <c r="X9" s="53"/>
      <c r="Y9" s="53"/>
    </row>
    <row r="10" spans="9:25" ht="14.45" customHeight="1">
      <c r="N10" s="81">
        <f>SUM(C35:Y35)</f>
        <v>9352</v>
      </c>
      <c r="O10" s="81"/>
      <c r="P10" s="81"/>
      <c r="Q10" s="81"/>
      <c r="S10" s="60"/>
      <c r="T10" s="61"/>
      <c r="U10" s="61"/>
      <c r="V10" s="62"/>
      <c r="W10" s="53"/>
      <c r="X10" s="53"/>
      <c r="Y10" s="53"/>
    </row>
    <row r="11" spans="9:25" ht="14.45" customHeight="1">
      <c r="N11" s="81"/>
      <c r="O11" s="81"/>
      <c r="P11" s="81"/>
      <c r="Q11" s="81"/>
      <c r="S11" s="60"/>
      <c r="T11" s="61"/>
      <c r="U11" s="61"/>
      <c r="V11" s="62"/>
      <c r="W11" s="53"/>
      <c r="X11" s="53"/>
      <c r="Y11" s="53"/>
    </row>
    <row r="12" spans="9:25" ht="14.45" customHeight="1">
      <c r="N12" s="81"/>
      <c r="O12" s="81"/>
      <c r="P12" s="81"/>
      <c r="Q12" s="81"/>
      <c r="S12" s="60"/>
      <c r="T12" s="61"/>
      <c r="U12" s="61"/>
      <c r="V12" s="62"/>
      <c r="W12" s="53"/>
      <c r="X12" s="53"/>
      <c r="Y12" s="53"/>
    </row>
    <row r="13" spans="9:25" ht="14.45" customHeight="1">
      <c r="N13" s="81"/>
      <c r="O13" s="81"/>
      <c r="P13" s="81"/>
      <c r="Q13" s="81"/>
      <c r="S13" s="60"/>
      <c r="T13" s="61"/>
      <c r="U13" s="61"/>
      <c r="V13" s="62"/>
      <c r="W13" s="53"/>
      <c r="X13" s="53"/>
      <c r="Y13" s="53"/>
    </row>
    <row r="14" spans="9:25" ht="14.45" customHeight="1">
      <c r="N14" s="81"/>
      <c r="O14" s="81"/>
      <c r="P14" s="81"/>
      <c r="Q14" s="81"/>
      <c r="S14" s="63"/>
      <c r="T14" s="64"/>
      <c r="U14" s="64"/>
      <c r="V14" s="65"/>
      <c r="W14" s="53"/>
      <c r="X14" s="53"/>
      <c r="Y14" s="53"/>
    </row>
    <row r="15" spans="9:25">
      <c r="N15" s="81"/>
      <c r="O15" s="81"/>
      <c r="P15" s="81"/>
      <c r="Q15" s="81"/>
      <c r="S15" s="53"/>
      <c r="T15" s="53"/>
      <c r="U15" s="53"/>
      <c r="V15" s="53"/>
      <c r="W15" s="53"/>
      <c r="X15" s="53"/>
      <c r="Y15" s="53"/>
    </row>
    <row r="16" spans="9:25">
      <c r="N16" s="81"/>
      <c r="O16" s="81"/>
      <c r="P16" s="81"/>
      <c r="Q16" s="81"/>
      <c r="S16" s="53"/>
      <c r="T16" s="53"/>
      <c r="U16" s="53"/>
      <c r="V16" s="53"/>
      <c r="W16" s="53"/>
      <c r="X16" s="53"/>
      <c r="Y16" s="53"/>
    </row>
    <row r="17" spans="1:25" ht="23.45" customHeight="1">
      <c r="N17" s="81"/>
      <c r="O17" s="81"/>
      <c r="P17" s="81"/>
      <c r="Q17" s="81"/>
      <c r="S17" s="53"/>
      <c r="T17" s="53"/>
      <c r="U17" s="53"/>
      <c r="V17" s="53"/>
      <c r="W17" s="53"/>
      <c r="X17" s="53"/>
      <c r="Y17" s="53"/>
    </row>
    <row r="18" spans="1:25" ht="42" customHeight="1">
      <c r="A18" s="72" t="s">
        <v>254</v>
      </c>
      <c r="B18" s="72"/>
    </row>
    <row r="19" spans="1:25" ht="22.9" customHeight="1">
      <c r="A19" s="17"/>
      <c r="B19" s="18" t="s">
        <v>255</v>
      </c>
      <c r="C19" s="19">
        <v>46204</v>
      </c>
      <c r="D19" s="19">
        <v>46235</v>
      </c>
      <c r="E19" s="19">
        <v>46266</v>
      </c>
      <c r="F19" s="19">
        <v>46296</v>
      </c>
      <c r="G19" s="19">
        <v>46327</v>
      </c>
      <c r="H19" s="19">
        <v>46357</v>
      </c>
      <c r="I19" s="19">
        <v>46388</v>
      </c>
      <c r="J19" s="19">
        <v>46419</v>
      </c>
      <c r="K19" s="19">
        <v>46447</v>
      </c>
      <c r="L19" s="19">
        <v>46478</v>
      </c>
      <c r="M19" s="19">
        <v>46508</v>
      </c>
      <c r="N19" s="19">
        <v>46539</v>
      </c>
      <c r="O19" s="19">
        <v>46569</v>
      </c>
      <c r="P19" s="19">
        <v>46600</v>
      </c>
      <c r="Q19" s="19">
        <v>46631</v>
      </c>
      <c r="R19" s="19">
        <v>46661</v>
      </c>
      <c r="S19" s="19">
        <v>46692</v>
      </c>
      <c r="T19" s="19">
        <v>46722</v>
      </c>
      <c r="U19" s="19">
        <v>46753</v>
      </c>
      <c r="V19" s="19">
        <v>46784</v>
      </c>
      <c r="W19" s="19">
        <v>46813</v>
      </c>
      <c r="X19" s="19">
        <v>46844</v>
      </c>
      <c r="Y19" s="20">
        <v>46874</v>
      </c>
    </row>
    <row r="20" spans="1:25">
      <c r="A20" s="67" t="s">
        <v>256</v>
      </c>
      <c r="B20" s="21" t="s">
        <v>257</v>
      </c>
      <c r="C20" s="21">
        <f>'Lead Generation '!$H$4</f>
        <v>66</v>
      </c>
      <c r="D20" s="21">
        <v>125</v>
      </c>
      <c r="E20" s="21">
        <v>145</v>
      </c>
      <c r="F20" s="21">
        <v>150</v>
      </c>
      <c r="G20" s="21">
        <v>115</v>
      </c>
      <c r="H20" s="21">
        <v>200</v>
      </c>
      <c r="I20" s="21">
        <v>30</v>
      </c>
      <c r="J20" s="21">
        <v>50</v>
      </c>
      <c r="K20" s="21">
        <v>45</v>
      </c>
      <c r="L20" s="21">
        <v>43</v>
      </c>
      <c r="M20" s="21">
        <v>67</v>
      </c>
      <c r="N20" s="21">
        <v>867</v>
      </c>
      <c r="O20" s="21">
        <v>454</v>
      </c>
      <c r="P20" s="21">
        <v>2323</v>
      </c>
      <c r="Q20" s="21">
        <v>445</v>
      </c>
      <c r="R20" s="21">
        <v>65</v>
      </c>
      <c r="S20" s="21">
        <v>54</v>
      </c>
      <c r="T20" s="21">
        <v>76</v>
      </c>
      <c r="U20" s="21">
        <v>87</v>
      </c>
      <c r="V20" s="21">
        <v>45</v>
      </c>
      <c r="W20" s="21">
        <v>65</v>
      </c>
      <c r="X20" s="21">
        <v>76</v>
      </c>
      <c r="Y20" s="22">
        <v>54</v>
      </c>
    </row>
    <row r="21" spans="1:25">
      <c r="A21" s="67"/>
      <c r="B21" s="21" t="s">
        <v>258</v>
      </c>
      <c r="C21" s="23">
        <f>'Assumptions  '!$B$19</f>
        <v>0.2</v>
      </c>
      <c r="D21" s="23">
        <f>'Assumptions  '!$B$19</f>
        <v>0.2</v>
      </c>
      <c r="E21" s="23">
        <f>'Assumptions  '!$B$19</f>
        <v>0.2</v>
      </c>
      <c r="F21" s="23">
        <f>'Assumptions  '!$B$19</f>
        <v>0.2</v>
      </c>
      <c r="G21" s="23">
        <f>'Assumptions  '!$B$19</f>
        <v>0.2</v>
      </c>
      <c r="H21" s="23">
        <f>'Assumptions  '!$B$19</f>
        <v>0.2</v>
      </c>
      <c r="I21" s="23">
        <f>'Assumptions  '!$B$19</f>
        <v>0.2</v>
      </c>
      <c r="J21" s="23">
        <f>'Assumptions  '!$B$19</f>
        <v>0.2</v>
      </c>
      <c r="K21" s="23">
        <f>'Assumptions  '!$B$19</f>
        <v>0.2</v>
      </c>
      <c r="L21" s="23">
        <f>'Assumptions  '!$B$19</f>
        <v>0.2</v>
      </c>
      <c r="M21" s="23">
        <f>'Assumptions  '!$B$19</f>
        <v>0.2</v>
      </c>
      <c r="N21" s="23">
        <f>'Assumptions  '!$B$19</f>
        <v>0.2</v>
      </c>
      <c r="O21" s="23">
        <f>'Assumptions  '!$B$19</f>
        <v>0.2</v>
      </c>
      <c r="P21" s="23">
        <f>'Assumptions  '!$B$19</f>
        <v>0.2</v>
      </c>
      <c r="Q21" s="23">
        <f>'Assumptions  '!$B$19</f>
        <v>0.2</v>
      </c>
      <c r="R21" s="23">
        <f>'Assumptions  '!$B$19</f>
        <v>0.2</v>
      </c>
      <c r="S21" s="23">
        <f>'Assumptions  '!$B$19</f>
        <v>0.2</v>
      </c>
      <c r="T21" s="23">
        <f>'Assumptions  '!$B$19</f>
        <v>0.2</v>
      </c>
      <c r="U21" s="23">
        <f>'Assumptions  '!$B$19</f>
        <v>0.2</v>
      </c>
      <c r="V21" s="23">
        <f>'Assumptions  '!$B$19</f>
        <v>0.2</v>
      </c>
      <c r="W21" s="23">
        <f>'Assumptions  '!$B$19</f>
        <v>0.2</v>
      </c>
      <c r="X21" s="23">
        <f>'Assumptions  '!$B$19</f>
        <v>0.2</v>
      </c>
      <c r="Y21" s="24">
        <f>'Assumptions  '!$B$19</f>
        <v>0.2</v>
      </c>
    </row>
    <row r="22" spans="1:25">
      <c r="A22" s="67"/>
      <c r="B22" s="21" t="s">
        <v>259</v>
      </c>
      <c r="C22" s="21">
        <f>C20*C21</f>
        <v>13.200000000000001</v>
      </c>
      <c r="D22" s="21">
        <f>D20*D21</f>
        <v>25</v>
      </c>
      <c r="E22" s="21">
        <f t="shared" ref="E22" si="0">E20*E21</f>
        <v>29</v>
      </c>
      <c r="F22" s="21">
        <f t="shared" ref="F22" si="1">F20*F21</f>
        <v>30</v>
      </c>
      <c r="G22" s="21">
        <f t="shared" ref="G22" si="2">G20*G21</f>
        <v>23</v>
      </c>
      <c r="H22" s="21">
        <f t="shared" ref="H22" si="3">H20*H21</f>
        <v>40</v>
      </c>
      <c r="I22" s="21">
        <f>I20*I21</f>
        <v>6</v>
      </c>
      <c r="J22" s="21">
        <f t="shared" ref="J22" si="4">J20*J21</f>
        <v>10</v>
      </c>
      <c r="K22" s="21">
        <f t="shared" ref="K22" si="5">K20*K21</f>
        <v>9</v>
      </c>
      <c r="L22" s="21">
        <f t="shared" ref="L22" si="6">L20*L21</f>
        <v>8.6</v>
      </c>
      <c r="M22" s="21">
        <f t="shared" ref="M22" si="7">M20*M21</f>
        <v>13.4</v>
      </c>
      <c r="N22" s="21">
        <f t="shared" ref="N22" si="8">N20*N21</f>
        <v>173.4</v>
      </c>
      <c r="O22" s="21">
        <f t="shared" ref="O22" si="9">O20*O21</f>
        <v>90.800000000000011</v>
      </c>
      <c r="P22" s="21">
        <f t="shared" ref="P22" si="10">P20*P21</f>
        <v>464.6</v>
      </c>
      <c r="Q22" s="21">
        <f t="shared" ref="Q22" si="11">Q20*Q21</f>
        <v>89</v>
      </c>
      <c r="R22" s="21">
        <f t="shared" ref="R22" si="12">R20*R21</f>
        <v>13</v>
      </c>
      <c r="S22" s="21">
        <f t="shared" ref="S22" si="13">S20*S21</f>
        <v>10.8</v>
      </c>
      <c r="T22" s="21">
        <f t="shared" ref="T22" si="14">T20*T21</f>
        <v>15.200000000000001</v>
      </c>
      <c r="U22" s="21">
        <f t="shared" ref="U22" si="15">U20*U21</f>
        <v>17.400000000000002</v>
      </c>
      <c r="V22" s="21">
        <f t="shared" ref="V22" si="16">V20*V21</f>
        <v>9</v>
      </c>
      <c r="W22" s="21">
        <f t="shared" ref="W22" si="17">W20*W21</f>
        <v>13</v>
      </c>
      <c r="X22" s="21">
        <f t="shared" ref="X22" si="18">X20*X21</f>
        <v>15.200000000000001</v>
      </c>
      <c r="Y22" s="22">
        <f t="shared" ref="Y22" si="19">Y20*Y21</f>
        <v>10.8</v>
      </c>
    </row>
    <row r="23" spans="1:25">
      <c r="A23" s="67"/>
      <c r="B23" s="21" t="s">
        <v>260</v>
      </c>
      <c r="C23" s="23">
        <f>'Assumptions  '!$B$20</f>
        <v>0.05</v>
      </c>
      <c r="D23" s="23">
        <f>'Assumptions  '!$B$20</f>
        <v>0.05</v>
      </c>
      <c r="E23" s="23">
        <f>'Assumptions  '!$B$20</f>
        <v>0.05</v>
      </c>
      <c r="F23" s="23">
        <f>'Assumptions  '!$B$20</f>
        <v>0.05</v>
      </c>
      <c r="G23" s="23">
        <f>'Assumptions  '!$B$20</f>
        <v>0.05</v>
      </c>
      <c r="H23" s="23">
        <f>'Assumptions  '!$B$20</f>
        <v>0.05</v>
      </c>
      <c r="I23" s="23">
        <f>'Assumptions  '!$B$20</f>
        <v>0.05</v>
      </c>
      <c r="J23" s="23">
        <f>'Assumptions  '!$B$20</f>
        <v>0.05</v>
      </c>
      <c r="K23" s="23">
        <f>'Assumptions  '!$B$20</f>
        <v>0.05</v>
      </c>
      <c r="L23" s="23">
        <f>'Assumptions  '!$B$20</f>
        <v>0.05</v>
      </c>
      <c r="M23" s="23">
        <f>'Assumptions  '!$B$20</f>
        <v>0.05</v>
      </c>
      <c r="N23" s="23">
        <f>'Assumptions  '!$B$20</f>
        <v>0.05</v>
      </c>
      <c r="O23" s="23">
        <f>'Assumptions  '!$B$20</f>
        <v>0.05</v>
      </c>
      <c r="P23" s="23">
        <f>'Assumptions  '!$B$20</f>
        <v>0.05</v>
      </c>
      <c r="Q23" s="23">
        <f>'Assumptions  '!$B$20</f>
        <v>0.05</v>
      </c>
      <c r="R23" s="23">
        <f>'Assumptions  '!$B$20</f>
        <v>0.05</v>
      </c>
      <c r="S23" s="23">
        <f>'Assumptions  '!$B$20</f>
        <v>0.05</v>
      </c>
      <c r="T23" s="23">
        <f>'Assumptions  '!$B$20</f>
        <v>0.05</v>
      </c>
      <c r="U23" s="23">
        <f>'Assumptions  '!$B$20</f>
        <v>0.05</v>
      </c>
      <c r="V23" s="23">
        <f>'Assumptions  '!$B$20</f>
        <v>0.05</v>
      </c>
      <c r="W23" s="23">
        <f>'Assumptions  '!$B$20</f>
        <v>0.05</v>
      </c>
      <c r="X23" s="23">
        <f>'Assumptions  '!$B$20</f>
        <v>0.05</v>
      </c>
      <c r="Y23" s="24">
        <f>'Assumptions  '!$B$20</f>
        <v>0.05</v>
      </c>
    </row>
    <row r="24" spans="1:25">
      <c r="A24" s="68"/>
      <c r="B24" s="25" t="s">
        <v>261</v>
      </c>
      <c r="C24" s="25">
        <f>ROUNDUP(C22*C23,0)</f>
        <v>1</v>
      </c>
      <c r="D24" s="25">
        <f>ROUNDUP(D22*D23,0)</f>
        <v>2</v>
      </c>
      <c r="E24" s="25">
        <f>ROUNDUP(E22*E23,0)</f>
        <v>2</v>
      </c>
      <c r="F24" s="25">
        <f t="shared" ref="F24:N24" si="20">ROUNDUP(F22*F23,0)</f>
        <v>2</v>
      </c>
      <c r="G24" s="25">
        <f t="shared" si="20"/>
        <v>2</v>
      </c>
      <c r="H24" s="25">
        <f t="shared" si="20"/>
        <v>2</v>
      </c>
      <c r="I24" s="25">
        <f>ROUNDUP(I22*I23,0)</f>
        <v>1</v>
      </c>
      <c r="J24" s="25">
        <f t="shared" si="20"/>
        <v>1</v>
      </c>
      <c r="K24" s="25">
        <f t="shared" si="20"/>
        <v>1</v>
      </c>
      <c r="L24" s="25">
        <f t="shared" si="20"/>
        <v>1</v>
      </c>
      <c r="M24" s="25">
        <f t="shared" si="20"/>
        <v>1</v>
      </c>
      <c r="N24" s="25">
        <f t="shared" si="20"/>
        <v>9</v>
      </c>
      <c r="O24" s="25">
        <f>ROUNDUP(O22*O23,0)</f>
        <v>5</v>
      </c>
      <c r="P24" s="25">
        <f t="shared" ref="P24:Y24" si="21">ROUNDUP(P22*P23,0)</f>
        <v>24</v>
      </c>
      <c r="Q24" s="25">
        <f t="shared" si="21"/>
        <v>5</v>
      </c>
      <c r="R24" s="25">
        <f t="shared" si="21"/>
        <v>1</v>
      </c>
      <c r="S24" s="25">
        <f t="shared" si="21"/>
        <v>1</v>
      </c>
      <c r="T24" s="25">
        <f t="shared" si="21"/>
        <v>1</v>
      </c>
      <c r="U24" s="25">
        <f t="shared" si="21"/>
        <v>1</v>
      </c>
      <c r="V24" s="25">
        <f t="shared" si="21"/>
        <v>1</v>
      </c>
      <c r="W24" s="25">
        <f t="shared" si="21"/>
        <v>1</v>
      </c>
      <c r="X24" s="25">
        <f t="shared" si="21"/>
        <v>1</v>
      </c>
      <c r="Y24" s="26">
        <f t="shared" si="21"/>
        <v>1</v>
      </c>
    </row>
    <row r="25" spans="1:25">
      <c r="A25" s="66" t="s">
        <v>262</v>
      </c>
      <c r="B25" s="27" t="s">
        <v>263</v>
      </c>
      <c r="C25" s="27">
        <f>'Assumptions  '!$B$3</f>
        <v>10</v>
      </c>
      <c r="D25" s="27">
        <f>C28</f>
        <v>9</v>
      </c>
      <c r="E25" s="27">
        <f t="shared" ref="D25:O25" si="22">D28</f>
        <v>10</v>
      </c>
      <c r="F25" s="27">
        <f t="shared" si="22"/>
        <v>11</v>
      </c>
      <c r="G25" s="27">
        <f t="shared" si="22"/>
        <v>12</v>
      </c>
      <c r="H25" s="27">
        <f t="shared" si="22"/>
        <v>13</v>
      </c>
      <c r="I25" s="27">
        <f t="shared" si="22"/>
        <v>14</v>
      </c>
      <c r="J25" s="27">
        <f t="shared" si="22"/>
        <v>14</v>
      </c>
      <c r="K25" s="27">
        <f t="shared" si="22"/>
        <v>14</v>
      </c>
      <c r="L25" s="27">
        <f t="shared" si="22"/>
        <v>14</v>
      </c>
      <c r="M25" s="27">
        <f t="shared" si="22"/>
        <v>14</v>
      </c>
      <c r="N25" s="27">
        <f t="shared" si="22"/>
        <v>14</v>
      </c>
      <c r="O25" s="27">
        <f t="shared" si="22"/>
        <v>22</v>
      </c>
      <c r="P25" s="27">
        <f t="shared" ref="P25:Y25" si="23">O28</f>
        <v>26</v>
      </c>
      <c r="Q25" s="27">
        <f t="shared" si="23"/>
        <v>49</v>
      </c>
      <c r="R25" s="27">
        <f t="shared" si="23"/>
        <v>52</v>
      </c>
      <c r="S25" s="27">
        <f t="shared" si="23"/>
        <v>51</v>
      </c>
      <c r="T25" s="27">
        <f t="shared" si="23"/>
        <v>50</v>
      </c>
      <c r="U25" s="27">
        <f t="shared" si="23"/>
        <v>49</v>
      </c>
      <c r="V25" s="27">
        <f t="shared" si="23"/>
        <v>48</v>
      </c>
      <c r="W25" s="27">
        <f t="shared" si="23"/>
        <v>47</v>
      </c>
      <c r="X25" s="27">
        <f t="shared" si="23"/>
        <v>46</v>
      </c>
      <c r="Y25" s="28">
        <f t="shared" si="23"/>
        <v>45</v>
      </c>
    </row>
    <row r="26" spans="1:25">
      <c r="A26" s="74"/>
      <c r="B26" s="21" t="s">
        <v>264</v>
      </c>
      <c r="C26" s="23">
        <f>'Assumptions  '!$B$5</f>
        <v>0.03</v>
      </c>
      <c r="D26" s="23">
        <f>'Assumptions  '!$B$5</f>
        <v>0.03</v>
      </c>
      <c r="E26" s="23">
        <f>'Assumptions  '!$B$5</f>
        <v>0.03</v>
      </c>
      <c r="F26" s="23">
        <f>'Assumptions  '!$B$5</f>
        <v>0.03</v>
      </c>
      <c r="G26" s="23">
        <f>'Assumptions  '!$B$5</f>
        <v>0.03</v>
      </c>
      <c r="H26" s="23">
        <f>'Assumptions  '!$B$5</f>
        <v>0.03</v>
      </c>
      <c r="I26" s="23">
        <f>'Assumptions  '!$B$5</f>
        <v>0.03</v>
      </c>
      <c r="J26" s="23">
        <f>'Assumptions  '!$B$5</f>
        <v>0.03</v>
      </c>
      <c r="K26" s="23">
        <f>'Assumptions  '!$B$5</f>
        <v>0.03</v>
      </c>
      <c r="L26" s="23">
        <f>'Assumptions  '!$B$5</f>
        <v>0.03</v>
      </c>
      <c r="M26" s="23">
        <f>'Assumptions  '!$B$5</f>
        <v>0.03</v>
      </c>
      <c r="N26" s="23">
        <f>'Assumptions  '!$B$5</f>
        <v>0.03</v>
      </c>
      <c r="O26" s="23">
        <f>'Assumptions  '!$B$5</f>
        <v>0.03</v>
      </c>
      <c r="P26" s="23">
        <f>'Assumptions  '!$B$5</f>
        <v>0.03</v>
      </c>
      <c r="Q26" s="23">
        <f>'Assumptions  '!$B$5</f>
        <v>0.03</v>
      </c>
      <c r="R26" s="23">
        <f>'Assumptions  '!$B$5</f>
        <v>0.03</v>
      </c>
      <c r="S26" s="23">
        <f>'Assumptions  '!$B$5</f>
        <v>0.03</v>
      </c>
      <c r="T26" s="23">
        <f>'Assumptions  '!$B$5</f>
        <v>0.03</v>
      </c>
      <c r="U26" s="23">
        <f>'Assumptions  '!$B$5</f>
        <v>0.03</v>
      </c>
      <c r="V26" s="23">
        <f>'Assumptions  '!$B$5</f>
        <v>0.03</v>
      </c>
      <c r="W26" s="23">
        <f>'Assumptions  '!$B$5</f>
        <v>0.03</v>
      </c>
      <c r="X26" s="23">
        <f>'Assumptions  '!$B$5</f>
        <v>0.03</v>
      </c>
      <c r="Y26" s="24">
        <f>'Assumptions  '!$B$5</f>
        <v>0.03</v>
      </c>
    </row>
    <row r="27" spans="1:25">
      <c r="A27" s="74"/>
      <c r="B27" s="21" t="s">
        <v>265</v>
      </c>
      <c r="C27" s="21">
        <f t="shared" ref="C27:O27" si="24">ROUNDUP(SUM(C25:C25)*C26, 0)</f>
        <v>1</v>
      </c>
      <c r="D27" s="21">
        <f t="shared" si="24"/>
        <v>1</v>
      </c>
      <c r="E27" s="21">
        <f t="shared" si="24"/>
        <v>1</v>
      </c>
      <c r="F27" s="21">
        <f t="shared" si="24"/>
        <v>1</v>
      </c>
      <c r="G27" s="21">
        <f t="shared" si="24"/>
        <v>1</v>
      </c>
      <c r="H27" s="21">
        <f t="shared" si="24"/>
        <v>1</v>
      </c>
      <c r="I27" s="21">
        <f t="shared" si="24"/>
        <v>1</v>
      </c>
      <c r="J27" s="21">
        <f t="shared" si="24"/>
        <v>1</v>
      </c>
      <c r="K27" s="21">
        <f t="shared" si="24"/>
        <v>1</v>
      </c>
      <c r="L27" s="21">
        <f t="shared" si="24"/>
        <v>1</v>
      </c>
      <c r="M27" s="21">
        <f t="shared" si="24"/>
        <v>1</v>
      </c>
      <c r="N27" s="21">
        <f t="shared" si="24"/>
        <v>1</v>
      </c>
      <c r="O27" s="21">
        <f t="shared" si="24"/>
        <v>1</v>
      </c>
      <c r="P27" s="21">
        <f t="shared" ref="P27:Y27" si="25">ROUNDUP(SUM(P25:P25)*P26, 0)</f>
        <v>1</v>
      </c>
      <c r="Q27" s="21">
        <f t="shared" si="25"/>
        <v>2</v>
      </c>
      <c r="R27" s="21">
        <f t="shared" si="25"/>
        <v>2</v>
      </c>
      <c r="S27" s="21">
        <f t="shared" si="25"/>
        <v>2</v>
      </c>
      <c r="T27" s="21">
        <f t="shared" si="25"/>
        <v>2</v>
      </c>
      <c r="U27" s="21">
        <f t="shared" si="25"/>
        <v>2</v>
      </c>
      <c r="V27" s="21">
        <f t="shared" si="25"/>
        <v>2</v>
      </c>
      <c r="W27" s="21">
        <f t="shared" si="25"/>
        <v>2</v>
      </c>
      <c r="X27" s="21">
        <f t="shared" si="25"/>
        <v>2</v>
      </c>
      <c r="Y27" s="22">
        <f t="shared" si="25"/>
        <v>2</v>
      </c>
    </row>
    <row r="28" spans="1:25">
      <c r="A28" s="75"/>
      <c r="B28" s="25" t="s">
        <v>266</v>
      </c>
      <c r="C28" s="25">
        <f>SUM(C25:C25)-C27</f>
        <v>9</v>
      </c>
      <c r="D28" s="25">
        <f>SUM(D24:D25)-D27</f>
        <v>10</v>
      </c>
      <c r="E28" s="25">
        <f>SUM(E24:E25)-E27</f>
        <v>11</v>
      </c>
      <c r="F28" s="25">
        <f t="shared" ref="F28:N28" si="26">SUM(F24:F25)-F27</f>
        <v>12</v>
      </c>
      <c r="G28" s="25">
        <f t="shared" si="26"/>
        <v>13</v>
      </c>
      <c r="H28" s="25">
        <f t="shared" si="26"/>
        <v>14</v>
      </c>
      <c r="I28" s="25">
        <f>SUM(I24:I25)-I27</f>
        <v>14</v>
      </c>
      <c r="J28" s="25">
        <f t="shared" si="26"/>
        <v>14</v>
      </c>
      <c r="K28" s="25">
        <f t="shared" si="26"/>
        <v>14</v>
      </c>
      <c r="L28" s="25">
        <f t="shared" si="26"/>
        <v>14</v>
      </c>
      <c r="M28" s="25">
        <f t="shared" si="26"/>
        <v>14</v>
      </c>
      <c r="N28" s="25">
        <f t="shared" si="26"/>
        <v>22</v>
      </c>
      <c r="O28" s="25">
        <f>SUM(O24:O25)-O27</f>
        <v>26</v>
      </c>
      <c r="P28" s="25">
        <f t="shared" ref="P28:Y28" si="27">SUM(P24:P25)-P27</f>
        <v>49</v>
      </c>
      <c r="Q28" s="25">
        <f t="shared" si="27"/>
        <v>52</v>
      </c>
      <c r="R28" s="25">
        <f t="shared" si="27"/>
        <v>51</v>
      </c>
      <c r="S28" s="25">
        <f t="shared" si="27"/>
        <v>50</v>
      </c>
      <c r="T28" s="25">
        <f t="shared" si="27"/>
        <v>49</v>
      </c>
      <c r="U28" s="25">
        <f t="shared" si="27"/>
        <v>48</v>
      </c>
      <c r="V28" s="25">
        <f t="shared" si="27"/>
        <v>47</v>
      </c>
      <c r="W28" s="25">
        <f t="shared" si="27"/>
        <v>46</v>
      </c>
      <c r="X28" s="25">
        <f t="shared" si="27"/>
        <v>45</v>
      </c>
      <c r="Y28" s="26">
        <f t="shared" si="27"/>
        <v>44</v>
      </c>
    </row>
    <row r="29" spans="1:25">
      <c r="A29" s="66" t="s">
        <v>267</v>
      </c>
      <c r="B29" s="27" t="s">
        <v>268</v>
      </c>
      <c r="C29" s="27">
        <f>ROUND(C28*'Assumptions  '!$C$12, 1)</f>
        <v>5.4</v>
      </c>
      <c r="D29" s="27">
        <f>ROUND(D28*'Assumptions  '!$C$12, 1)</f>
        <v>6</v>
      </c>
      <c r="E29" s="27">
        <f>ROUND(E28*'Assumptions  '!$C$12, 1)</f>
        <v>6.6</v>
      </c>
      <c r="F29" s="27">
        <f>ROUND(F28*'Assumptions  '!$C$12, 1)</f>
        <v>7.2</v>
      </c>
      <c r="G29" s="27">
        <f>ROUND(G28*'Assumptions  '!$C$12, 1)</f>
        <v>7.8</v>
      </c>
      <c r="H29" s="27">
        <f>ROUND(H28*'Assumptions  '!$C$12, 1)</f>
        <v>8.4</v>
      </c>
      <c r="I29" s="27">
        <f>ROUND(I28*'Assumptions  '!$C$12, 1)</f>
        <v>8.4</v>
      </c>
      <c r="J29" s="27">
        <f>ROUND(J28*'Assumptions  '!$C$12, 1)</f>
        <v>8.4</v>
      </c>
      <c r="K29" s="27">
        <f>ROUND(K28*'Assumptions  '!$C$12, 1)</f>
        <v>8.4</v>
      </c>
      <c r="L29" s="27">
        <f>ROUND(L28*'Assumptions  '!$C$12, 1)</f>
        <v>8.4</v>
      </c>
      <c r="M29" s="27">
        <f>ROUND(M28*'Assumptions  '!$C$12, 1)</f>
        <v>8.4</v>
      </c>
      <c r="N29" s="27">
        <f>ROUND(N28*'Assumptions  '!$C$12, 1)</f>
        <v>13.2</v>
      </c>
      <c r="O29" s="27">
        <f>ROUND(O28*'Assumptions  '!$C$12, 1)</f>
        <v>15.6</v>
      </c>
      <c r="P29" s="27">
        <f>ROUND(P28*'Assumptions  '!$C$12, 1)</f>
        <v>29.4</v>
      </c>
      <c r="Q29" s="27">
        <f>ROUND(Q28*'Assumptions  '!$C$12, 1)</f>
        <v>31.2</v>
      </c>
      <c r="R29" s="27">
        <f>ROUND(R28*'Assumptions  '!$C$12, 1)</f>
        <v>30.6</v>
      </c>
      <c r="S29" s="27">
        <f>ROUND(S28*'Assumptions  '!$C$12, 1)</f>
        <v>30</v>
      </c>
      <c r="T29" s="27">
        <f>ROUND(T28*'Assumptions  '!$C$12, 1)</f>
        <v>29.4</v>
      </c>
      <c r="U29" s="27">
        <f>ROUND(U28*'Assumptions  '!$C$12, 1)</f>
        <v>28.8</v>
      </c>
      <c r="V29" s="27">
        <f>ROUND(V28*'Assumptions  '!$C$12, 1)</f>
        <v>28.2</v>
      </c>
      <c r="W29" s="27">
        <f>ROUND(W28*'Assumptions  '!$C$12, 1)</f>
        <v>27.6</v>
      </c>
      <c r="X29" s="27">
        <f>ROUND(X28*'Assumptions  '!$C$12, 1)</f>
        <v>27</v>
      </c>
      <c r="Y29" s="28">
        <f>ROUND(Y28*'Assumptions  '!$C$12, 1)</f>
        <v>26.4</v>
      </c>
    </row>
    <row r="30" spans="1:25">
      <c r="A30" s="74"/>
      <c r="B30" s="21" t="s">
        <v>269</v>
      </c>
      <c r="C30" s="21">
        <f>ROUND(C28*'Assumptions  '!$C$13, 1)</f>
        <v>2.7</v>
      </c>
      <c r="D30" s="21">
        <f>ROUND(D28*'Assumptions  '!$C$13, 1)</f>
        <v>3</v>
      </c>
      <c r="E30" s="21">
        <f>ROUND(E28*'Assumptions  '!$C$13, 1)</f>
        <v>3.3</v>
      </c>
      <c r="F30" s="21">
        <f>ROUND(F28*'Assumptions  '!$C$13, 1)</f>
        <v>3.6</v>
      </c>
      <c r="G30" s="21">
        <f>ROUND(G28*'Assumptions  '!$C$13, 1)</f>
        <v>3.9</v>
      </c>
      <c r="H30" s="21">
        <f>ROUND(H28*'Assumptions  '!$C$13, 1)</f>
        <v>4.2</v>
      </c>
      <c r="I30" s="21">
        <f>ROUND(I28*'Assumptions  '!$C$13, 1)</f>
        <v>4.2</v>
      </c>
      <c r="J30" s="21">
        <f>ROUND(J28*'Assumptions  '!$C$13, 1)</f>
        <v>4.2</v>
      </c>
      <c r="K30" s="21">
        <f>ROUND(K28*'Assumptions  '!$C$13, 1)</f>
        <v>4.2</v>
      </c>
      <c r="L30" s="21">
        <f>ROUND(L28*'Assumptions  '!$C$13, 1)</f>
        <v>4.2</v>
      </c>
      <c r="M30" s="21">
        <f>ROUND(M28*'Assumptions  '!$C$13, 1)</f>
        <v>4.2</v>
      </c>
      <c r="N30" s="21">
        <f>ROUND(N28*'Assumptions  '!$C$13, 1)</f>
        <v>6.6</v>
      </c>
      <c r="O30" s="21">
        <f>ROUND(O28*'Assumptions  '!$C$13, 1)</f>
        <v>7.8</v>
      </c>
      <c r="P30" s="21">
        <f>ROUND(P28*'Assumptions  '!$C$13, 1)</f>
        <v>14.7</v>
      </c>
      <c r="Q30" s="21">
        <f>ROUND(Q28*'Assumptions  '!$C$13, 1)</f>
        <v>15.6</v>
      </c>
      <c r="R30" s="21">
        <f>ROUND(R28*'Assumptions  '!$C$13, 1)</f>
        <v>15.3</v>
      </c>
      <c r="S30" s="21">
        <f>ROUND(S28*'Assumptions  '!$C$13, 1)</f>
        <v>15</v>
      </c>
      <c r="T30" s="21">
        <f>ROUND(T28*'Assumptions  '!$C$13, 1)</f>
        <v>14.7</v>
      </c>
      <c r="U30" s="21">
        <f>ROUND(U28*'Assumptions  '!$C$13, 1)</f>
        <v>14.4</v>
      </c>
      <c r="V30" s="21">
        <f>ROUND(V28*'Assumptions  '!$C$13, 1)</f>
        <v>14.1</v>
      </c>
      <c r="W30" s="21">
        <f>ROUND(W28*'Assumptions  '!$C$13, 1)</f>
        <v>13.8</v>
      </c>
      <c r="X30" s="21">
        <f>ROUND(X28*'Assumptions  '!$C$13, 1)</f>
        <v>13.5</v>
      </c>
      <c r="Y30" s="22">
        <f>ROUND(Y28*'Assumptions  '!$C$13, 1)</f>
        <v>13.2</v>
      </c>
    </row>
    <row r="31" spans="1:25">
      <c r="A31" s="75"/>
      <c r="B31" s="25" t="s">
        <v>270</v>
      </c>
      <c r="C31" s="25">
        <f>ROUND(C28*'Assumptions  '!$C$14, 1)</f>
        <v>0.9</v>
      </c>
      <c r="D31" s="25">
        <f>ROUND(D28*'Assumptions  '!$C$14, 1)</f>
        <v>1</v>
      </c>
      <c r="E31" s="25">
        <f>ROUND(E28*'Assumptions  '!$C$14, 1)</f>
        <v>1.1000000000000001</v>
      </c>
      <c r="F31" s="25">
        <f>ROUND(F28*'Assumptions  '!$C$14, 1)</f>
        <v>1.2</v>
      </c>
      <c r="G31" s="25">
        <f>ROUND(G28*'Assumptions  '!$C$14, 1)</f>
        <v>1.3</v>
      </c>
      <c r="H31" s="25">
        <f>ROUND(H28*'Assumptions  '!$C$14, 1)</f>
        <v>1.4</v>
      </c>
      <c r="I31" s="25">
        <f>ROUND(I28*'Assumptions  '!$C$14, 1)</f>
        <v>1.4</v>
      </c>
      <c r="J31" s="25">
        <f>ROUND(J28*'Assumptions  '!$C$14, 1)</f>
        <v>1.4</v>
      </c>
      <c r="K31" s="25">
        <f>ROUND(K28*'Assumptions  '!$C$14, 1)</f>
        <v>1.4</v>
      </c>
      <c r="L31" s="25">
        <f>ROUND(L28*'Assumptions  '!$C$14, 1)</f>
        <v>1.4</v>
      </c>
      <c r="M31" s="25">
        <f>ROUND(M28*'Assumptions  '!$C$14, 1)</f>
        <v>1.4</v>
      </c>
      <c r="N31" s="25">
        <f>ROUND(N28*'Assumptions  '!$C$14, 1)</f>
        <v>2.2000000000000002</v>
      </c>
      <c r="O31" s="25">
        <f>ROUND(O28*'Assumptions  '!$C$14, 1)</f>
        <v>2.6</v>
      </c>
      <c r="P31" s="25">
        <f>ROUND(P28*'Assumptions  '!$C$14, 1)</f>
        <v>4.9000000000000004</v>
      </c>
      <c r="Q31" s="25">
        <f>ROUND(Q28*'Assumptions  '!$C$14, 1)</f>
        <v>5.2</v>
      </c>
      <c r="R31" s="25">
        <f>ROUND(R28*'Assumptions  '!$C$14, 1)</f>
        <v>5.0999999999999996</v>
      </c>
      <c r="S31" s="25">
        <f>ROUND(S28*'Assumptions  '!$C$14, 1)</f>
        <v>5</v>
      </c>
      <c r="T31" s="25">
        <f>ROUND(T28*'Assumptions  '!$C$14, 1)</f>
        <v>4.9000000000000004</v>
      </c>
      <c r="U31" s="25">
        <f>ROUND(U28*'Assumptions  '!$C$14, 1)</f>
        <v>4.8</v>
      </c>
      <c r="V31" s="25">
        <f>ROUND(V28*'Assumptions  '!$C$14, 1)</f>
        <v>4.7</v>
      </c>
      <c r="W31" s="25">
        <f>ROUND(W28*'Assumptions  '!$C$14, 1)</f>
        <v>4.5999999999999996</v>
      </c>
      <c r="X31" s="25">
        <f>ROUND(X28*'Assumptions  '!$C$14, 1)</f>
        <v>4.5</v>
      </c>
      <c r="Y31" s="26">
        <f>ROUND(Y28*'Assumptions  '!$C$14, 1)</f>
        <v>4.4000000000000004</v>
      </c>
    </row>
    <row r="32" spans="1:25">
      <c r="A32" s="76" t="s">
        <v>271</v>
      </c>
      <c r="B32" s="29" t="s">
        <v>272</v>
      </c>
      <c r="C32" s="30">
        <f>'Assumptions  '!$B$12*C29</f>
        <v>0</v>
      </c>
      <c r="D32" s="30">
        <f>'Assumptions  '!$B$12*D29</f>
        <v>0</v>
      </c>
      <c r="E32" s="30">
        <f>'Assumptions  '!$B$12*E29</f>
        <v>0</v>
      </c>
      <c r="F32" s="30">
        <f>'Assumptions  '!$B$12*F29</f>
        <v>0</v>
      </c>
      <c r="G32" s="30">
        <f>'Assumptions  '!$B$12*G29</f>
        <v>0</v>
      </c>
      <c r="H32" s="30">
        <f>'Assumptions  '!$B$12*H29</f>
        <v>0</v>
      </c>
      <c r="I32" s="30">
        <f>'Assumptions  '!$B$12*I29</f>
        <v>0</v>
      </c>
      <c r="J32" s="30">
        <f>'Assumptions  '!$B$12*J29</f>
        <v>0</v>
      </c>
      <c r="K32" s="30">
        <f>'Assumptions  '!$B$12*K29</f>
        <v>0</v>
      </c>
      <c r="L32" s="30">
        <f>'Assumptions  '!$B$12*L29</f>
        <v>0</v>
      </c>
      <c r="M32" s="30">
        <f>'Assumptions  '!$B$12*M29</f>
        <v>0</v>
      </c>
      <c r="N32" s="30">
        <f>'Assumptions  '!$B$12*N29</f>
        <v>0</v>
      </c>
      <c r="O32" s="30">
        <f>'Assumptions  '!$B$12*O29</f>
        <v>0</v>
      </c>
      <c r="P32" s="30">
        <f>'Assumptions  '!$B$12*P29</f>
        <v>0</v>
      </c>
      <c r="Q32" s="30">
        <f>'Assumptions  '!$B$12*Q29</f>
        <v>0</v>
      </c>
      <c r="R32" s="30">
        <f>'Assumptions  '!$B$12*R29</f>
        <v>0</v>
      </c>
      <c r="S32" s="30">
        <f>'Assumptions  '!$B$12*S29</f>
        <v>0</v>
      </c>
      <c r="T32" s="30">
        <f>'Assumptions  '!$B$12*T29</f>
        <v>0</v>
      </c>
      <c r="U32" s="30">
        <f>'Assumptions  '!$B$12*U29</f>
        <v>0</v>
      </c>
      <c r="V32" s="30">
        <f>'Assumptions  '!$B$12*V29</f>
        <v>0</v>
      </c>
      <c r="W32" s="30">
        <f>'Assumptions  '!$B$12*W29</f>
        <v>0</v>
      </c>
      <c r="X32" s="30">
        <f>'Assumptions  '!$B$12*X29</f>
        <v>0</v>
      </c>
      <c r="Y32" s="31">
        <f>'Assumptions  '!$B$12*Y29</f>
        <v>0</v>
      </c>
    </row>
    <row r="33" spans="1:25">
      <c r="A33" s="77"/>
      <c r="B33" s="32" t="s">
        <v>273</v>
      </c>
      <c r="C33" s="33">
        <f>C30*'Assumptions  '!$B$13</f>
        <v>54</v>
      </c>
      <c r="D33" s="33">
        <f>D30*'Assumptions  '!$B$13</f>
        <v>60</v>
      </c>
      <c r="E33" s="33">
        <f>E30*'Assumptions  '!$B$13</f>
        <v>66</v>
      </c>
      <c r="F33" s="33">
        <f>F30*'Assumptions  '!$B$13</f>
        <v>72</v>
      </c>
      <c r="G33" s="33">
        <f>G30*'Assumptions  '!$B$13</f>
        <v>78</v>
      </c>
      <c r="H33" s="33">
        <f>H30*'Assumptions  '!$B$13</f>
        <v>84</v>
      </c>
      <c r="I33" s="33">
        <f>I30*'Assumptions  '!$B$13</f>
        <v>84</v>
      </c>
      <c r="J33" s="33">
        <f>J30*'Assumptions  '!$B$13</f>
        <v>84</v>
      </c>
      <c r="K33" s="33">
        <f>K30*'Assumptions  '!$B$13</f>
        <v>84</v>
      </c>
      <c r="L33" s="33">
        <f>L30*'Assumptions  '!$B$13</f>
        <v>84</v>
      </c>
      <c r="M33" s="33">
        <f>M30*'Assumptions  '!$B$13</f>
        <v>84</v>
      </c>
      <c r="N33" s="33">
        <f>N30*'Assumptions  '!$B$13</f>
        <v>132</v>
      </c>
      <c r="O33" s="33">
        <f>O30*'Assumptions  '!$B$13</f>
        <v>156</v>
      </c>
      <c r="P33" s="33">
        <f>P30*'Assumptions  '!$B$13</f>
        <v>294</v>
      </c>
      <c r="Q33" s="33">
        <f>Q30*'Assumptions  '!$B$13</f>
        <v>312</v>
      </c>
      <c r="R33" s="33">
        <f>R30*'Assumptions  '!$B$13</f>
        <v>306</v>
      </c>
      <c r="S33" s="33">
        <f>S30*'Assumptions  '!$B$13</f>
        <v>300</v>
      </c>
      <c r="T33" s="33">
        <f>T30*'Assumptions  '!$B$13</f>
        <v>294</v>
      </c>
      <c r="U33" s="33">
        <f>U30*'Assumptions  '!$B$13</f>
        <v>288</v>
      </c>
      <c r="V33" s="33">
        <f>V30*'Assumptions  '!$B$13</f>
        <v>282</v>
      </c>
      <c r="W33" s="33">
        <f>W30*'Assumptions  '!$B$13</f>
        <v>276</v>
      </c>
      <c r="X33" s="33">
        <f>X30*'Assumptions  '!$B$13</f>
        <v>270</v>
      </c>
      <c r="Y33" s="34">
        <f>Y30*'Assumptions  '!$B$13</f>
        <v>264</v>
      </c>
    </row>
    <row r="34" spans="1:25">
      <c r="A34" s="77"/>
      <c r="B34" s="32" t="s">
        <v>274</v>
      </c>
      <c r="C34" s="33">
        <f>'Assumptions  '!$B$14* 'Financial Model '!C31</f>
        <v>72</v>
      </c>
      <c r="D34" s="33">
        <f>'Assumptions  '!$B$14* 'Financial Model '!D31</f>
        <v>80</v>
      </c>
      <c r="E34" s="33">
        <f>'Assumptions  '!$B$14* 'Financial Model '!E31</f>
        <v>88</v>
      </c>
      <c r="F34" s="33">
        <f>'Assumptions  '!$B$14* 'Financial Model '!F31</f>
        <v>96</v>
      </c>
      <c r="G34" s="33">
        <f>'Assumptions  '!$B$14* 'Financial Model '!G31</f>
        <v>104</v>
      </c>
      <c r="H34" s="33">
        <f>'Assumptions  '!$B$14* 'Financial Model '!H31</f>
        <v>112</v>
      </c>
      <c r="I34" s="33">
        <f>'Assumptions  '!$B$14* 'Financial Model '!I31</f>
        <v>112</v>
      </c>
      <c r="J34" s="33">
        <f>'Assumptions  '!$B$14* 'Financial Model '!J31</f>
        <v>112</v>
      </c>
      <c r="K34" s="33">
        <f>'Assumptions  '!$B$14* 'Financial Model '!K31</f>
        <v>112</v>
      </c>
      <c r="L34" s="33">
        <f>'Assumptions  '!$B$14* 'Financial Model '!L31</f>
        <v>112</v>
      </c>
      <c r="M34" s="33">
        <f>'Assumptions  '!$B$14* 'Financial Model '!M31</f>
        <v>112</v>
      </c>
      <c r="N34" s="33">
        <f>'Assumptions  '!$B$14* 'Financial Model '!N31</f>
        <v>176</v>
      </c>
      <c r="O34" s="33">
        <f>'Assumptions  '!$B$14* 'Financial Model '!O31</f>
        <v>208</v>
      </c>
      <c r="P34" s="33">
        <f>'Assumptions  '!$B$14* 'Financial Model '!P31</f>
        <v>392</v>
      </c>
      <c r="Q34" s="33">
        <f>'Assumptions  '!$B$14* 'Financial Model '!Q31</f>
        <v>416</v>
      </c>
      <c r="R34" s="33">
        <f>'Assumptions  '!$B$14* 'Financial Model '!R31</f>
        <v>408</v>
      </c>
      <c r="S34" s="33">
        <f>'Assumptions  '!$B$14* 'Financial Model '!S31</f>
        <v>400</v>
      </c>
      <c r="T34" s="33">
        <f>'Assumptions  '!$B$14* 'Financial Model '!T31</f>
        <v>392</v>
      </c>
      <c r="U34" s="33">
        <f>'Assumptions  '!$B$14* 'Financial Model '!U31</f>
        <v>384</v>
      </c>
      <c r="V34" s="33">
        <f>'Assumptions  '!$B$14* 'Financial Model '!V31</f>
        <v>376</v>
      </c>
      <c r="W34" s="33">
        <f>'Assumptions  '!$B$14* 'Financial Model '!W31</f>
        <v>368</v>
      </c>
      <c r="X34" s="33">
        <f>'Assumptions  '!$B$14* 'Financial Model '!X31</f>
        <v>360</v>
      </c>
      <c r="Y34" s="34">
        <f>'Assumptions  '!$B$14* 'Financial Model '!Y31</f>
        <v>352</v>
      </c>
    </row>
    <row r="35" spans="1:25">
      <c r="A35" s="78"/>
      <c r="B35" s="35" t="s">
        <v>275</v>
      </c>
      <c r="C35" s="36">
        <f>SUM(C32:C34)</f>
        <v>126</v>
      </c>
      <c r="D35" s="36">
        <f t="shared" ref="D35:O35" si="28">SUM(D32:D34)</f>
        <v>140</v>
      </c>
      <c r="E35" s="36">
        <f t="shared" si="28"/>
        <v>154</v>
      </c>
      <c r="F35" s="36">
        <f t="shared" si="28"/>
        <v>168</v>
      </c>
      <c r="G35" s="36">
        <f t="shared" si="28"/>
        <v>182</v>
      </c>
      <c r="H35" s="36">
        <f t="shared" si="28"/>
        <v>196</v>
      </c>
      <c r="I35" s="36">
        <f t="shared" si="28"/>
        <v>196</v>
      </c>
      <c r="J35" s="36">
        <f t="shared" si="28"/>
        <v>196</v>
      </c>
      <c r="K35" s="36">
        <f t="shared" si="28"/>
        <v>196</v>
      </c>
      <c r="L35" s="36">
        <f t="shared" si="28"/>
        <v>196</v>
      </c>
      <c r="M35" s="36">
        <f t="shared" si="28"/>
        <v>196</v>
      </c>
      <c r="N35" s="36">
        <f t="shared" si="28"/>
        <v>308</v>
      </c>
      <c r="O35" s="36">
        <f t="shared" si="28"/>
        <v>364</v>
      </c>
      <c r="P35" s="36">
        <f t="shared" ref="P35" si="29">SUM(P32:P34)</f>
        <v>686</v>
      </c>
      <c r="Q35" s="36">
        <f t="shared" ref="Q35" si="30">SUM(Q32:Q34)</f>
        <v>728</v>
      </c>
      <c r="R35" s="36">
        <f t="shared" ref="R35" si="31">SUM(R32:R34)</f>
        <v>714</v>
      </c>
      <c r="S35" s="36">
        <f t="shared" ref="S35" si="32">SUM(S32:S34)</f>
        <v>700</v>
      </c>
      <c r="T35" s="36">
        <f t="shared" ref="T35" si="33">SUM(T32:T34)</f>
        <v>686</v>
      </c>
      <c r="U35" s="36">
        <f t="shared" ref="U35" si="34">SUM(U32:U34)</f>
        <v>672</v>
      </c>
      <c r="V35" s="36">
        <f t="shared" ref="V35" si="35">SUM(V32:V34)</f>
        <v>658</v>
      </c>
      <c r="W35" s="36">
        <f t="shared" ref="W35" si="36">SUM(W32:W34)</f>
        <v>644</v>
      </c>
      <c r="X35" s="36">
        <f t="shared" ref="X35" si="37">SUM(X32:X34)</f>
        <v>630</v>
      </c>
      <c r="Y35" s="37">
        <f t="shared" ref="Y35" si="38">SUM(Y32:Y34)</f>
        <v>616</v>
      </c>
    </row>
    <row r="36" spans="1:25" ht="14.45" customHeight="1">
      <c r="A36" s="66" t="s">
        <v>276</v>
      </c>
      <c r="B36" s="39" t="s">
        <v>266</v>
      </c>
      <c r="C36" s="40">
        <f>C28</f>
        <v>9</v>
      </c>
      <c r="D36" s="40">
        <f t="shared" ref="D36:Y36" si="39">D28</f>
        <v>10</v>
      </c>
      <c r="E36" s="40">
        <f t="shared" si="39"/>
        <v>11</v>
      </c>
      <c r="F36" s="40">
        <f t="shared" si="39"/>
        <v>12</v>
      </c>
      <c r="G36" s="40">
        <f>G28</f>
        <v>13</v>
      </c>
      <c r="H36" s="40">
        <f t="shared" si="39"/>
        <v>14</v>
      </c>
      <c r="I36" s="40">
        <f t="shared" si="39"/>
        <v>14</v>
      </c>
      <c r="J36" s="40">
        <f t="shared" si="39"/>
        <v>14</v>
      </c>
      <c r="K36" s="40">
        <f t="shared" si="39"/>
        <v>14</v>
      </c>
      <c r="L36" s="40">
        <f t="shared" si="39"/>
        <v>14</v>
      </c>
      <c r="M36" s="40">
        <f t="shared" si="39"/>
        <v>14</v>
      </c>
      <c r="N36" s="40">
        <f t="shared" si="39"/>
        <v>22</v>
      </c>
      <c r="O36" s="40">
        <f t="shared" si="39"/>
        <v>26</v>
      </c>
      <c r="P36" s="40">
        <f t="shared" si="39"/>
        <v>49</v>
      </c>
      <c r="Q36" s="40">
        <f t="shared" si="39"/>
        <v>52</v>
      </c>
      <c r="R36" s="40">
        <f t="shared" si="39"/>
        <v>51</v>
      </c>
      <c r="S36" s="40">
        <f t="shared" si="39"/>
        <v>50</v>
      </c>
      <c r="T36" s="40">
        <f t="shared" si="39"/>
        <v>49</v>
      </c>
      <c r="U36" s="40">
        <f t="shared" si="39"/>
        <v>48</v>
      </c>
      <c r="V36" s="40">
        <f t="shared" si="39"/>
        <v>47</v>
      </c>
      <c r="W36" s="40">
        <f t="shared" si="39"/>
        <v>46</v>
      </c>
      <c r="X36" s="40">
        <f t="shared" si="39"/>
        <v>45</v>
      </c>
      <c r="Y36" s="44">
        <f t="shared" si="39"/>
        <v>44</v>
      </c>
    </row>
    <row r="37" spans="1:25" ht="14.45" customHeight="1">
      <c r="A37" s="67"/>
      <c r="B37" s="11" t="s">
        <v>277</v>
      </c>
      <c r="C37" s="13">
        <v>45</v>
      </c>
      <c r="D37" s="13">
        <v>45</v>
      </c>
      <c r="E37" s="13">
        <v>45</v>
      </c>
      <c r="F37" s="13">
        <v>45</v>
      </c>
      <c r="G37" s="13">
        <v>45</v>
      </c>
      <c r="H37" s="13">
        <v>45</v>
      </c>
      <c r="I37" s="13">
        <v>45</v>
      </c>
      <c r="J37" s="13">
        <v>45</v>
      </c>
      <c r="K37" s="13">
        <v>45</v>
      </c>
      <c r="L37" s="13">
        <v>45</v>
      </c>
      <c r="M37" s="13">
        <v>45</v>
      </c>
      <c r="N37" s="13">
        <v>45</v>
      </c>
      <c r="O37" s="13">
        <v>45</v>
      </c>
      <c r="P37" s="13">
        <v>45</v>
      </c>
      <c r="Q37" s="13">
        <v>45</v>
      </c>
      <c r="R37" s="13">
        <v>45</v>
      </c>
      <c r="S37" s="13">
        <v>45</v>
      </c>
      <c r="T37" s="13">
        <v>45</v>
      </c>
      <c r="U37" s="13">
        <v>45</v>
      </c>
      <c r="V37" s="13">
        <v>45</v>
      </c>
      <c r="W37" s="13">
        <v>45</v>
      </c>
      <c r="X37" s="13">
        <v>45</v>
      </c>
      <c r="Y37" s="45">
        <v>45</v>
      </c>
    </row>
    <row r="38" spans="1:25" ht="14.45" customHeight="1">
      <c r="A38" s="67"/>
      <c r="B38" s="11" t="s">
        <v>278</v>
      </c>
      <c r="C38" s="41">
        <f>0.029*C35</f>
        <v>3.6540000000000004</v>
      </c>
      <c r="D38" s="41">
        <f>0.029*D35</f>
        <v>4.0600000000000005</v>
      </c>
      <c r="E38" s="41">
        <f t="shared" ref="E38:Y38" si="40">0.029*E35</f>
        <v>4.4660000000000002</v>
      </c>
      <c r="F38" s="41">
        <f t="shared" si="40"/>
        <v>4.8719999999999999</v>
      </c>
      <c r="G38" s="41">
        <f t="shared" si="40"/>
        <v>5.2780000000000005</v>
      </c>
      <c r="H38" s="41">
        <f t="shared" si="40"/>
        <v>5.6840000000000002</v>
      </c>
      <c r="I38" s="41">
        <f t="shared" si="40"/>
        <v>5.6840000000000002</v>
      </c>
      <c r="J38" s="41">
        <f t="shared" si="40"/>
        <v>5.6840000000000002</v>
      </c>
      <c r="K38" s="41">
        <f t="shared" si="40"/>
        <v>5.6840000000000002</v>
      </c>
      <c r="L38" s="41">
        <f t="shared" si="40"/>
        <v>5.6840000000000002</v>
      </c>
      <c r="M38" s="41">
        <f t="shared" si="40"/>
        <v>5.6840000000000002</v>
      </c>
      <c r="N38" s="41">
        <f t="shared" si="40"/>
        <v>8.9320000000000004</v>
      </c>
      <c r="O38" s="41">
        <f t="shared" si="40"/>
        <v>10.556000000000001</v>
      </c>
      <c r="P38" s="41">
        <f t="shared" si="40"/>
        <v>19.894000000000002</v>
      </c>
      <c r="Q38" s="41">
        <f t="shared" si="40"/>
        <v>21.112000000000002</v>
      </c>
      <c r="R38" s="41">
        <f t="shared" si="40"/>
        <v>20.706</v>
      </c>
      <c r="S38" s="41">
        <f t="shared" si="40"/>
        <v>20.3</v>
      </c>
      <c r="T38" s="41">
        <f t="shared" si="40"/>
        <v>19.894000000000002</v>
      </c>
      <c r="U38" s="41">
        <f t="shared" si="40"/>
        <v>19.488</v>
      </c>
      <c r="V38" s="41">
        <f t="shared" si="40"/>
        <v>19.082000000000001</v>
      </c>
      <c r="W38" s="41">
        <f t="shared" si="40"/>
        <v>18.676000000000002</v>
      </c>
      <c r="X38" s="41">
        <f t="shared" si="40"/>
        <v>18.27</v>
      </c>
      <c r="Y38" s="46">
        <f t="shared" si="40"/>
        <v>17.864000000000001</v>
      </c>
    </row>
    <row r="39" spans="1:25" ht="15" customHeight="1">
      <c r="A39" s="67"/>
      <c r="B39" s="11" t="s">
        <v>279</v>
      </c>
      <c r="C39" s="13">
        <f>1*C28</f>
        <v>9</v>
      </c>
      <c r="D39" s="13">
        <f t="shared" ref="D39:Y40" si="41">1*D28</f>
        <v>10</v>
      </c>
      <c r="E39" s="13">
        <f t="shared" si="41"/>
        <v>11</v>
      </c>
      <c r="F39" s="13">
        <f t="shared" si="41"/>
        <v>12</v>
      </c>
      <c r="G39" s="13">
        <f t="shared" si="41"/>
        <v>13</v>
      </c>
      <c r="H39" s="13">
        <f t="shared" si="41"/>
        <v>14</v>
      </c>
      <c r="I39" s="13">
        <f t="shared" si="41"/>
        <v>14</v>
      </c>
      <c r="J39" s="13">
        <f t="shared" si="41"/>
        <v>14</v>
      </c>
      <c r="K39" s="13">
        <f t="shared" si="41"/>
        <v>14</v>
      </c>
      <c r="L39" s="13">
        <f t="shared" si="41"/>
        <v>14</v>
      </c>
      <c r="M39" s="13">
        <f t="shared" si="41"/>
        <v>14</v>
      </c>
      <c r="N39" s="13">
        <f t="shared" si="41"/>
        <v>22</v>
      </c>
      <c r="O39" s="13">
        <f t="shared" si="41"/>
        <v>26</v>
      </c>
      <c r="P39" s="13">
        <f t="shared" si="41"/>
        <v>49</v>
      </c>
      <c r="Q39" s="13">
        <f t="shared" si="41"/>
        <v>52</v>
      </c>
      <c r="R39" s="13">
        <f t="shared" si="41"/>
        <v>51</v>
      </c>
      <c r="S39" s="13">
        <f t="shared" si="41"/>
        <v>50</v>
      </c>
      <c r="T39" s="13">
        <f t="shared" si="41"/>
        <v>49</v>
      </c>
      <c r="U39" s="13">
        <f t="shared" si="41"/>
        <v>48</v>
      </c>
      <c r="V39" s="13">
        <f t="shared" si="41"/>
        <v>47</v>
      </c>
      <c r="W39" s="13">
        <f t="shared" si="41"/>
        <v>46</v>
      </c>
      <c r="X39" s="13">
        <f t="shared" si="41"/>
        <v>45</v>
      </c>
      <c r="Y39" s="45">
        <f t="shared" si="41"/>
        <v>44</v>
      </c>
    </row>
    <row r="40" spans="1:25" ht="15" customHeight="1">
      <c r="A40" s="67"/>
      <c r="B40" s="11" t="s">
        <v>280</v>
      </c>
      <c r="C40" s="13">
        <f>1*C29</f>
        <v>5.4</v>
      </c>
      <c r="D40" s="13">
        <f t="shared" si="41"/>
        <v>6</v>
      </c>
      <c r="E40" s="13">
        <f t="shared" si="41"/>
        <v>6.6</v>
      </c>
      <c r="F40" s="13">
        <f t="shared" si="41"/>
        <v>7.2</v>
      </c>
      <c r="G40" s="13">
        <f t="shared" si="41"/>
        <v>7.8</v>
      </c>
      <c r="H40" s="13">
        <f t="shared" si="41"/>
        <v>8.4</v>
      </c>
      <c r="I40" s="13">
        <f>1*I29</f>
        <v>8.4</v>
      </c>
      <c r="J40" s="13">
        <f t="shared" si="41"/>
        <v>8.4</v>
      </c>
      <c r="K40" s="13">
        <f t="shared" si="41"/>
        <v>8.4</v>
      </c>
      <c r="L40" s="13">
        <f t="shared" si="41"/>
        <v>8.4</v>
      </c>
      <c r="M40" s="13">
        <f t="shared" si="41"/>
        <v>8.4</v>
      </c>
      <c r="N40" s="13">
        <f t="shared" si="41"/>
        <v>13.2</v>
      </c>
      <c r="O40" s="13">
        <f t="shared" si="41"/>
        <v>15.6</v>
      </c>
      <c r="P40" s="13">
        <f t="shared" si="41"/>
        <v>29.4</v>
      </c>
      <c r="Q40" s="13">
        <f t="shared" si="41"/>
        <v>31.2</v>
      </c>
      <c r="R40" s="13">
        <f t="shared" si="41"/>
        <v>30.6</v>
      </c>
      <c r="S40" s="13">
        <f t="shared" si="41"/>
        <v>30</v>
      </c>
      <c r="T40" s="13">
        <f t="shared" si="41"/>
        <v>29.4</v>
      </c>
      <c r="U40" s="13">
        <f t="shared" si="41"/>
        <v>28.8</v>
      </c>
      <c r="V40" s="13">
        <f t="shared" si="41"/>
        <v>28.2</v>
      </c>
      <c r="W40" s="13">
        <f t="shared" si="41"/>
        <v>27.6</v>
      </c>
      <c r="X40" s="13">
        <f t="shared" si="41"/>
        <v>27</v>
      </c>
      <c r="Y40" s="45">
        <f t="shared" si="41"/>
        <v>26.4</v>
      </c>
    </row>
    <row r="41" spans="1:25" ht="15" customHeight="1">
      <c r="A41" s="68"/>
      <c r="B41" s="42" t="s">
        <v>281</v>
      </c>
      <c r="C41" s="43">
        <f>SUM(C37:C40)</f>
        <v>63.054000000000002</v>
      </c>
      <c r="D41" s="43">
        <f t="shared" ref="D41:Y41" si="42">SUM(D37:D40)</f>
        <v>65.06</v>
      </c>
      <c r="E41" s="43">
        <f t="shared" si="42"/>
        <v>67.066000000000003</v>
      </c>
      <c r="F41" s="43">
        <f>SUM(F37:F40)</f>
        <v>69.072000000000003</v>
      </c>
      <c r="G41" s="43">
        <f t="shared" si="42"/>
        <v>71.078000000000003</v>
      </c>
      <c r="H41" s="43">
        <f t="shared" si="42"/>
        <v>73.084000000000003</v>
      </c>
      <c r="I41" s="43">
        <f t="shared" si="42"/>
        <v>73.084000000000003</v>
      </c>
      <c r="J41" s="43">
        <f t="shared" si="42"/>
        <v>73.084000000000003</v>
      </c>
      <c r="K41" s="43">
        <f t="shared" si="42"/>
        <v>73.084000000000003</v>
      </c>
      <c r="L41" s="43">
        <f>SUM(L37:L40)</f>
        <v>73.084000000000003</v>
      </c>
      <c r="M41" s="43">
        <f t="shared" si="42"/>
        <v>73.084000000000003</v>
      </c>
      <c r="N41" s="43">
        <f t="shared" si="42"/>
        <v>89.132000000000005</v>
      </c>
      <c r="O41" s="43">
        <f t="shared" si="42"/>
        <v>97.155999999999992</v>
      </c>
      <c r="P41" s="43">
        <f t="shared" si="42"/>
        <v>143.29400000000001</v>
      </c>
      <c r="Q41" s="43">
        <f t="shared" si="42"/>
        <v>149.31199999999998</v>
      </c>
      <c r="R41" s="43">
        <f t="shared" si="42"/>
        <v>147.30600000000001</v>
      </c>
      <c r="S41" s="43">
        <f t="shared" si="42"/>
        <v>145.30000000000001</v>
      </c>
      <c r="T41" s="43">
        <f t="shared" si="42"/>
        <v>143.29400000000001</v>
      </c>
      <c r="U41" s="43">
        <f t="shared" si="42"/>
        <v>141.28800000000001</v>
      </c>
      <c r="V41" s="43">
        <f t="shared" si="42"/>
        <v>139.28199999999998</v>
      </c>
      <c r="W41" s="43">
        <f t="shared" si="42"/>
        <v>137.27600000000001</v>
      </c>
      <c r="X41" s="43">
        <f t="shared" si="42"/>
        <v>135.26999999999998</v>
      </c>
      <c r="Y41" s="47">
        <f t="shared" si="42"/>
        <v>133.26400000000001</v>
      </c>
    </row>
    <row r="42" spans="1:25" ht="36.6" customHeight="1">
      <c r="A42" s="69" t="s">
        <v>282</v>
      </c>
      <c r="B42" s="39" t="s">
        <v>283</v>
      </c>
      <c r="C42" s="48">
        <v>100</v>
      </c>
      <c r="D42" s="48">
        <v>100</v>
      </c>
      <c r="E42" s="48">
        <v>100</v>
      </c>
      <c r="F42" s="48">
        <v>100</v>
      </c>
      <c r="G42" s="48">
        <v>100</v>
      </c>
      <c r="H42" s="48">
        <v>100</v>
      </c>
      <c r="I42" s="48">
        <v>100</v>
      </c>
      <c r="J42" s="48">
        <v>100</v>
      </c>
      <c r="K42" s="48">
        <v>100</v>
      </c>
      <c r="L42" s="48">
        <v>100</v>
      </c>
      <c r="M42" s="48">
        <v>100</v>
      </c>
      <c r="N42" s="48">
        <v>100</v>
      </c>
      <c r="O42" s="48">
        <v>100</v>
      </c>
      <c r="P42" s="48">
        <v>100</v>
      </c>
      <c r="Q42" s="48">
        <v>100</v>
      </c>
      <c r="R42" s="48">
        <v>100</v>
      </c>
      <c r="S42" s="48">
        <v>100</v>
      </c>
      <c r="T42" s="48">
        <v>100</v>
      </c>
      <c r="U42" s="48">
        <v>100</v>
      </c>
      <c r="V42" s="48">
        <v>100</v>
      </c>
      <c r="W42" s="48">
        <v>100</v>
      </c>
      <c r="X42" s="48">
        <v>100</v>
      </c>
      <c r="Y42" s="50">
        <v>100</v>
      </c>
    </row>
    <row r="43" spans="1:25" ht="15" customHeight="1">
      <c r="A43" s="70"/>
      <c r="B43" s="11" t="s">
        <v>284</v>
      </c>
      <c r="C43" s="13">
        <v>25</v>
      </c>
      <c r="D43" s="13">
        <v>25</v>
      </c>
      <c r="E43" s="13">
        <v>25</v>
      </c>
      <c r="F43" s="13">
        <v>25</v>
      </c>
      <c r="G43" s="13">
        <v>25</v>
      </c>
      <c r="H43" s="13">
        <v>25</v>
      </c>
      <c r="I43" s="13">
        <v>25</v>
      </c>
      <c r="J43" s="13">
        <v>25</v>
      </c>
      <c r="K43" s="13">
        <v>25</v>
      </c>
      <c r="L43" s="13">
        <v>25</v>
      </c>
      <c r="M43" s="13">
        <v>25</v>
      </c>
      <c r="N43" s="13">
        <v>25</v>
      </c>
      <c r="O43" s="13">
        <v>25</v>
      </c>
      <c r="P43" s="13">
        <v>25</v>
      </c>
      <c r="Q43" s="13">
        <v>25</v>
      </c>
      <c r="R43" s="13">
        <v>25</v>
      </c>
      <c r="S43" s="13">
        <v>25</v>
      </c>
      <c r="T43" s="13">
        <v>25</v>
      </c>
      <c r="U43" s="13">
        <v>25</v>
      </c>
      <c r="V43" s="13">
        <v>25</v>
      </c>
      <c r="W43" s="13">
        <v>25</v>
      </c>
      <c r="X43" s="13">
        <v>25</v>
      </c>
      <c r="Y43" s="45">
        <v>25</v>
      </c>
    </row>
    <row r="44" spans="1:25" ht="15" customHeight="1">
      <c r="A44" s="70"/>
      <c r="B44" s="11" t="s">
        <v>234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45">
        <v>0</v>
      </c>
    </row>
    <row r="45" spans="1:25" ht="15" customHeight="1">
      <c r="A45" s="70"/>
      <c r="B45" s="11" t="s">
        <v>285</v>
      </c>
      <c r="C45" s="13">
        <v>25</v>
      </c>
      <c r="D45" s="13">
        <v>25</v>
      </c>
      <c r="E45" s="13">
        <v>25</v>
      </c>
      <c r="F45" s="13">
        <v>25</v>
      </c>
      <c r="G45" s="13">
        <v>25</v>
      </c>
      <c r="H45" s="13">
        <v>25</v>
      </c>
      <c r="I45" s="13">
        <v>25</v>
      </c>
      <c r="J45" s="13">
        <v>25</v>
      </c>
      <c r="K45" s="13">
        <v>25</v>
      </c>
      <c r="L45" s="13">
        <v>25</v>
      </c>
      <c r="M45" s="13">
        <v>25</v>
      </c>
      <c r="N45" s="13">
        <v>25</v>
      </c>
      <c r="O45" s="13">
        <v>25</v>
      </c>
      <c r="P45" s="13">
        <v>25</v>
      </c>
      <c r="Q45" s="13">
        <v>25</v>
      </c>
      <c r="R45" s="13">
        <v>25</v>
      </c>
      <c r="S45" s="13">
        <v>25</v>
      </c>
      <c r="T45" s="13">
        <v>25</v>
      </c>
      <c r="U45" s="13">
        <v>25</v>
      </c>
      <c r="V45" s="13">
        <v>25</v>
      </c>
      <c r="W45" s="13">
        <v>25</v>
      </c>
      <c r="X45" s="13">
        <v>25</v>
      </c>
      <c r="Y45" s="45">
        <v>25</v>
      </c>
    </row>
    <row r="46" spans="1:25" ht="15" customHeight="1">
      <c r="A46" s="70"/>
      <c r="B46" s="11" t="s">
        <v>286</v>
      </c>
      <c r="C46" s="13">
        <v>25</v>
      </c>
      <c r="D46" s="13">
        <v>25</v>
      </c>
      <c r="E46" s="13">
        <v>25</v>
      </c>
      <c r="F46" s="13">
        <v>25</v>
      </c>
      <c r="G46" s="13">
        <v>25</v>
      </c>
      <c r="H46" s="13">
        <v>25</v>
      </c>
      <c r="I46" s="13">
        <v>25</v>
      </c>
      <c r="J46" s="13">
        <v>25</v>
      </c>
      <c r="K46" s="13">
        <v>25</v>
      </c>
      <c r="L46" s="13">
        <v>25</v>
      </c>
      <c r="M46" s="13">
        <v>25</v>
      </c>
      <c r="N46" s="13">
        <v>25</v>
      </c>
      <c r="O46" s="13">
        <v>25</v>
      </c>
      <c r="P46" s="13">
        <v>25</v>
      </c>
      <c r="Q46" s="13">
        <v>25</v>
      </c>
      <c r="R46" s="13">
        <v>25</v>
      </c>
      <c r="S46" s="13">
        <v>25</v>
      </c>
      <c r="T46" s="13">
        <v>25</v>
      </c>
      <c r="U46" s="13">
        <v>25</v>
      </c>
      <c r="V46" s="13">
        <v>25</v>
      </c>
      <c r="W46" s="13">
        <v>25</v>
      </c>
      <c r="X46" s="13">
        <v>25</v>
      </c>
      <c r="Y46" s="45">
        <v>25</v>
      </c>
    </row>
    <row r="47" spans="1:25" ht="15" customHeight="1">
      <c r="A47" s="70"/>
      <c r="B47" s="11" t="s">
        <v>287</v>
      </c>
      <c r="C47" s="13">
        <v>10</v>
      </c>
      <c r="D47" s="13">
        <v>10</v>
      </c>
      <c r="E47" s="13">
        <v>10</v>
      </c>
      <c r="F47" s="13">
        <v>10</v>
      </c>
      <c r="G47" s="13">
        <v>10</v>
      </c>
      <c r="H47" s="13">
        <v>10</v>
      </c>
      <c r="I47" s="13">
        <v>10</v>
      </c>
      <c r="J47" s="13">
        <v>10</v>
      </c>
      <c r="K47" s="13">
        <v>10</v>
      </c>
      <c r="L47" s="13">
        <v>10</v>
      </c>
      <c r="M47" s="13">
        <v>10</v>
      </c>
      <c r="N47" s="13">
        <v>10</v>
      </c>
      <c r="O47" s="13">
        <v>10</v>
      </c>
      <c r="P47" s="13">
        <v>10</v>
      </c>
      <c r="Q47" s="13">
        <v>10</v>
      </c>
      <c r="R47" s="13">
        <v>10</v>
      </c>
      <c r="S47" s="13">
        <v>10</v>
      </c>
      <c r="T47" s="13">
        <v>10</v>
      </c>
      <c r="U47" s="13">
        <v>10</v>
      </c>
      <c r="V47" s="13">
        <v>10</v>
      </c>
      <c r="W47" s="13">
        <v>10</v>
      </c>
      <c r="X47" s="13">
        <v>10</v>
      </c>
      <c r="Y47" s="45">
        <v>10</v>
      </c>
    </row>
    <row r="48" spans="1:25" ht="15" customHeight="1">
      <c r="A48" s="70"/>
      <c r="B48" s="11" t="s">
        <v>288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45">
        <v>0</v>
      </c>
    </row>
    <row r="49" spans="1:25" ht="15" customHeight="1">
      <c r="A49" s="70"/>
      <c r="B49" s="11" t="s">
        <v>243</v>
      </c>
      <c r="C49" s="13">
        <v>25</v>
      </c>
      <c r="D49" s="13">
        <v>25</v>
      </c>
      <c r="E49" s="13">
        <v>25</v>
      </c>
      <c r="F49" s="13">
        <v>25</v>
      </c>
      <c r="G49" s="13">
        <v>25</v>
      </c>
      <c r="H49" s="13">
        <v>25</v>
      </c>
      <c r="I49" s="13">
        <v>25</v>
      </c>
      <c r="J49" s="13">
        <v>25</v>
      </c>
      <c r="K49" s="13">
        <v>25</v>
      </c>
      <c r="L49" s="13">
        <v>25</v>
      </c>
      <c r="M49" s="13">
        <v>25</v>
      </c>
      <c r="N49" s="13">
        <v>25</v>
      </c>
      <c r="O49" s="13">
        <v>25</v>
      </c>
      <c r="P49" s="13">
        <v>25</v>
      </c>
      <c r="Q49" s="13">
        <v>25</v>
      </c>
      <c r="R49" s="13">
        <v>25</v>
      </c>
      <c r="S49" s="13">
        <v>25</v>
      </c>
      <c r="T49" s="13">
        <v>25</v>
      </c>
      <c r="U49" s="13">
        <v>25</v>
      </c>
      <c r="V49" s="13">
        <v>25</v>
      </c>
      <c r="W49" s="13">
        <v>25</v>
      </c>
      <c r="X49" s="13">
        <v>25</v>
      </c>
      <c r="Y49" s="45">
        <v>25</v>
      </c>
    </row>
    <row r="50" spans="1:25" ht="15" customHeight="1">
      <c r="A50" s="70"/>
      <c r="B50" s="11" t="s">
        <v>289</v>
      </c>
      <c r="C50" s="13">
        <v>20</v>
      </c>
      <c r="D50" s="13">
        <v>20</v>
      </c>
      <c r="E50" s="13">
        <v>20</v>
      </c>
      <c r="F50" s="13">
        <v>20</v>
      </c>
      <c r="G50" s="13">
        <v>20</v>
      </c>
      <c r="H50" s="13">
        <v>20</v>
      </c>
      <c r="I50" s="13">
        <v>20</v>
      </c>
      <c r="J50" s="13">
        <v>20</v>
      </c>
      <c r="K50" s="13">
        <v>20</v>
      </c>
      <c r="L50" s="13">
        <v>20</v>
      </c>
      <c r="M50" s="13">
        <v>20</v>
      </c>
      <c r="N50" s="13">
        <v>20</v>
      </c>
      <c r="O50" s="13">
        <v>20</v>
      </c>
      <c r="P50" s="13">
        <v>20</v>
      </c>
      <c r="Q50" s="13">
        <v>20</v>
      </c>
      <c r="R50" s="13">
        <v>20</v>
      </c>
      <c r="S50" s="13">
        <v>20</v>
      </c>
      <c r="T50" s="13">
        <v>20</v>
      </c>
      <c r="U50" s="13">
        <v>20</v>
      </c>
      <c r="V50" s="13">
        <v>20</v>
      </c>
      <c r="W50" s="13">
        <v>20</v>
      </c>
      <c r="X50" s="13">
        <v>20</v>
      </c>
      <c r="Y50" s="45">
        <v>20</v>
      </c>
    </row>
    <row r="51" spans="1:25" ht="15" customHeight="1">
      <c r="A51" s="70"/>
      <c r="B51" s="11" t="s">
        <v>249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45">
        <v>0</v>
      </c>
    </row>
    <row r="52" spans="1:25" ht="15" customHeight="1">
      <c r="A52" s="70"/>
      <c r="B52" s="11" t="s">
        <v>250</v>
      </c>
      <c r="C52" s="13">
        <v>10</v>
      </c>
      <c r="D52" s="13">
        <v>10</v>
      </c>
      <c r="E52" s="13">
        <v>10</v>
      </c>
      <c r="F52" s="13">
        <v>10</v>
      </c>
      <c r="G52" s="13">
        <v>10</v>
      </c>
      <c r="H52" s="13">
        <v>10</v>
      </c>
      <c r="I52" s="13">
        <v>10</v>
      </c>
      <c r="J52" s="13">
        <v>10</v>
      </c>
      <c r="K52" s="13">
        <v>10</v>
      </c>
      <c r="L52" s="13">
        <v>10</v>
      </c>
      <c r="M52" s="13">
        <v>10</v>
      </c>
      <c r="N52" s="13">
        <v>10</v>
      </c>
      <c r="O52" s="13">
        <v>10</v>
      </c>
      <c r="P52" s="13">
        <v>10</v>
      </c>
      <c r="Q52" s="13">
        <v>10</v>
      </c>
      <c r="R52" s="13">
        <v>10</v>
      </c>
      <c r="S52" s="13">
        <v>10</v>
      </c>
      <c r="T52" s="13">
        <v>10</v>
      </c>
      <c r="U52" s="13">
        <v>10</v>
      </c>
      <c r="V52" s="13">
        <v>10</v>
      </c>
      <c r="W52" s="13">
        <v>10</v>
      </c>
      <c r="X52" s="13">
        <v>10</v>
      </c>
      <c r="Y52" s="45">
        <v>10</v>
      </c>
    </row>
    <row r="53" spans="1:25">
      <c r="A53" s="71"/>
      <c r="B53" s="42" t="s">
        <v>290</v>
      </c>
      <c r="C53" s="49">
        <f>SUM(C42:C52)</f>
        <v>240</v>
      </c>
      <c r="D53" s="49">
        <f t="shared" ref="D53:Y53" si="43">SUM(D42:D52)</f>
        <v>240</v>
      </c>
      <c r="E53" s="49">
        <f t="shared" si="43"/>
        <v>240</v>
      </c>
      <c r="F53" s="49">
        <f t="shared" si="43"/>
        <v>240</v>
      </c>
      <c r="G53" s="49">
        <f t="shared" si="43"/>
        <v>240</v>
      </c>
      <c r="H53" s="49">
        <f t="shared" si="43"/>
        <v>240</v>
      </c>
      <c r="I53" s="49">
        <f t="shared" si="43"/>
        <v>240</v>
      </c>
      <c r="J53" s="49">
        <f t="shared" si="43"/>
        <v>240</v>
      </c>
      <c r="K53" s="49">
        <f t="shared" si="43"/>
        <v>240</v>
      </c>
      <c r="L53" s="49">
        <f t="shared" si="43"/>
        <v>240</v>
      </c>
      <c r="M53" s="49">
        <f t="shared" si="43"/>
        <v>240</v>
      </c>
      <c r="N53" s="49">
        <f t="shared" si="43"/>
        <v>240</v>
      </c>
      <c r="O53" s="49">
        <f t="shared" si="43"/>
        <v>240</v>
      </c>
      <c r="P53" s="49">
        <f t="shared" si="43"/>
        <v>240</v>
      </c>
      <c r="Q53" s="49">
        <f t="shared" si="43"/>
        <v>240</v>
      </c>
      <c r="R53" s="49">
        <f t="shared" si="43"/>
        <v>240</v>
      </c>
      <c r="S53" s="49">
        <f t="shared" si="43"/>
        <v>240</v>
      </c>
      <c r="T53" s="49">
        <f t="shared" si="43"/>
        <v>240</v>
      </c>
      <c r="U53" s="49">
        <f t="shared" si="43"/>
        <v>240</v>
      </c>
      <c r="V53" s="49">
        <f t="shared" si="43"/>
        <v>240</v>
      </c>
      <c r="W53" s="49">
        <f t="shared" si="43"/>
        <v>240</v>
      </c>
      <c r="X53" s="49">
        <f t="shared" si="43"/>
        <v>240</v>
      </c>
      <c r="Y53" s="49">
        <f t="shared" si="43"/>
        <v>240</v>
      </c>
    </row>
    <row r="54" spans="1:25" ht="15" customHeight="1"/>
    <row r="55" spans="1:25" ht="15" customHeight="1"/>
    <row r="56" spans="1:25" ht="32.450000000000003" customHeight="1">
      <c r="B56" s="51" t="s">
        <v>291</v>
      </c>
      <c r="C56" s="52">
        <f>C35-C41-C53</f>
        <v>-177.054</v>
      </c>
      <c r="D56" s="52">
        <f t="shared" ref="C56:Y56" si="44">D35-D41-D53</f>
        <v>-165.06</v>
      </c>
      <c r="E56" s="52">
        <f t="shared" si="44"/>
        <v>-153.066</v>
      </c>
      <c r="F56" s="52">
        <f t="shared" si="44"/>
        <v>-141.072</v>
      </c>
      <c r="G56" s="52">
        <f t="shared" si="44"/>
        <v>-129.078</v>
      </c>
      <c r="H56" s="52">
        <f t="shared" si="44"/>
        <v>-117.084</v>
      </c>
      <c r="I56" s="52">
        <f t="shared" si="44"/>
        <v>-117.084</v>
      </c>
      <c r="J56" s="52">
        <f t="shared" si="44"/>
        <v>-117.084</v>
      </c>
      <c r="K56" s="52">
        <f t="shared" si="44"/>
        <v>-117.084</v>
      </c>
      <c r="L56" s="52">
        <f t="shared" si="44"/>
        <v>-117.084</v>
      </c>
      <c r="M56" s="52">
        <f t="shared" si="44"/>
        <v>-117.084</v>
      </c>
      <c r="N56" s="52">
        <f t="shared" si="44"/>
        <v>-21.132000000000005</v>
      </c>
      <c r="O56" s="52">
        <f t="shared" si="44"/>
        <v>26.843999999999994</v>
      </c>
      <c r="P56" s="52">
        <f t="shared" si="44"/>
        <v>302.70600000000002</v>
      </c>
      <c r="Q56" s="52">
        <f t="shared" si="44"/>
        <v>338.68799999999999</v>
      </c>
      <c r="R56" s="52">
        <f t="shared" si="44"/>
        <v>326.69399999999996</v>
      </c>
      <c r="S56" s="52">
        <f t="shared" si="44"/>
        <v>314.70000000000005</v>
      </c>
      <c r="T56" s="52">
        <f t="shared" si="44"/>
        <v>302.70600000000002</v>
      </c>
      <c r="U56" s="52">
        <f t="shared" si="44"/>
        <v>290.71199999999999</v>
      </c>
      <c r="V56" s="52">
        <f t="shared" si="44"/>
        <v>278.71800000000007</v>
      </c>
      <c r="W56" s="52">
        <f t="shared" si="44"/>
        <v>266.72399999999999</v>
      </c>
      <c r="X56" s="52">
        <f t="shared" si="44"/>
        <v>254.73000000000002</v>
      </c>
      <c r="Y56" s="52">
        <f t="shared" si="44"/>
        <v>242.73599999999999</v>
      </c>
    </row>
    <row r="57" spans="1:25" ht="15" customHeight="1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customHeight="1"/>
    <row r="59" spans="1:25" ht="15" customHeight="1"/>
    <row r="60" spans="1:25" ht="15" customHeight="1"/>
    <row r="61" spans="1:25" ht="15" customHeight="1"/>
    <row r="62" spans="1:25" ht="15" customHeight="1"/>
  </sheetData>
  <mergeCells count="14">
    <mergeCell ref="N3:Q3"/>
    <mergeCell ref="N4:Q7"/>
    <mergeCell ref="I3:I7"/>
    <mergeCell ref="N10:Q17"/>
    <mergeCell ref="A20:A24"/>
    <mergeCell ref="S7:V8"/>
    <mergeCell ref="S9:V14"/>
    <mergeCell ref="A36:A41"/>
    <mergeCell ref="A42:A53"/>
    <mergeCell ref="A18:B18"/>
    <mergeCell ref="N9:Q9"/>
    <mergeCell ref="A25:A28"/>
    <mergeCell ref="A29:A31"/>
    <mergeCell ref="A32:A35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A174060C750A4B931C3E1FADCF39AD" ma:contentTypeVersion="10" ma:contentTypeDescription="Create a new document." ma:contentTypeScope="" ma:versionID="ba19be93bf731333a89e6a887602baf2">
  <xsd:schema xmlns:xsd="http://www.w3.org/2001/XMLSchema" xmlns:xs="http://www.w3.org/2001/XMLSchema" xmlns:p="http://schemas.microsoft.com/office/2006/metadata/properties" xmlns:ns2="35c2bd4a-a527-47d4-a758-2292d4cdb38b" xmlns:ns3="20b3d275-27ef-49d6-9dac-fad2fbaa6e06" targetNamespace="http://schemas.microsoft.com/office/2006/metadata/properties" ma:root="true" ma:fieldsID="f1a343ec26f17bb3e6dd355e5dcb5486" ns2:_="" ns3:_="">
    <xsd:import namespace="35c2bd4a-a527-47d4-a758-2292d4cdb38b"/>
    <xsd:import namespace="20b3d275-27ef-49d6-9dac-fad2fbaa6e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2bd4a-a527-47d4-a758-2292d4cdb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3d275-27ef-49d6-9dac-fad2fbaa6e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826d06-9b83-4e0a-9f86-8d5523681f8d}" ma:internalName="TaxCatchAll" ma:showField="CatchAllData" ma:web="20b3d275-27ef-49d6-9dac-fad2fbaa6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b3d275-27ef-49d6-9dac-fad2fbaa6e06" xsi:nil="true"/>
    <lcf76f155ced4ddcb4097134ff3c332f xmlns="35c2bd4a-a527-47d4-a758-2292d4cdb38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12132A-500B-4B45-ACAC-0D96CD1652BB}"/>
</file>

<file path=customXml/itemProps2.xml><?xml version="1.0" encoding="utf-8"?>
<ds:datastoreItem xmlns:ds="http://schemas.openxmlformats.org/officeDocument/2006/customXml" ds:itemID="{22FF93B7-B9F3-48D9-89AD-662F35E114B3}"/>
</file>

<file path=customXml/itemProps3.xml><?xml version="1.0" encoding="utf-8"?>
<ds:datastoreItem xmlns:ds="http://schemas.openxmlformats.org/officeDocument/2006/customXml" ds:itemID="{290C5C60-1B91-44D8-B647-10178B0A7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Shariq Kapadia</dc:creator>
  <cp:keywords/>
  <dc:description/>
  <cp:lastModifiedBy/>
  <cp:revision/>
  <dcterms:created xsi:type="dcterms:W3CDTF">2026-08-13T18:12:01Z</dcterms:created>
  <dcterms:modified xsi:type="dcterms:W3CDTF">2026-10-01T21:16:55Z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0x01010042A174060C750A4B931C3E1FADCF39AD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{"FileActivityType":"9","FileActivityTimeStamp":"2026-08-17T15:40:59.087Z","FileActivityUsersOnPage":[{"DisplayName":"Shariq Ali Kapadia","Id":"kapadi13@purdue.edu"}],"FileActivityNavigationId":null}</vt:lpwstr>
  </property>
  <property fmtid="{D5CDD505-2E9C-101B-9397-08002B2CF9AE}" pid="9" name="TriggerFlowInfo">
    <vt:lpwstr/>
  </property>
</Properties>
</file>